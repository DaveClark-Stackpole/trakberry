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always" codeName="ThisWorkbook"/>
  <mc:AlternateContent xmlns:mc="http://schemas.openxmlformats.org/markup-compatibility/2006">
    <mc:Choice Requires="x15">
      <x15ac:absPath xmlns:x15ac="http://schemas.microsoft.com/office/spreadsheetml/2010/11/ac" url="S:\Production\Common\Schedules\Plant1_Days\Archive\"/>
    </mc:Choice>
  </mc:AlternateContent>
  <bookViews>
    <workbookView xWindow="-216" yWindow="36" windowWidth="12480" windowHeight="9168"/>
  </bookViews>
  <sheets>
    <sheet name="JOB ASSIGNER" sheetId="8" r:id="rId1"/>
    <sheet name="Jobs" sheetId="17" r:id="rId2"/>
    <sheet name="Sheet3" sheetId="20" r:id="rId3"/>
    <sheet name="clean_schedule" sheetId="18" r:id="rId4"/>
    <sheet name="Shift_Names" sheetId="16" r:id="rId5"/>
    <sheet name="Sheet2" sheetId="13" state="hidden" r:id="rId6"/>
    <sheet name="Sheet1" sheetId="12" r:id="rId7"/>
  </sheets>
  <functionGroups builtInGroupCount="18"/>
  <externalReferences>
    <externalReference r:id="rId8"/>
    <externalReference r:id="rId9"/>
  </externalReferences>
  <definedNames>
    <definedName name="\A">#REF!</definedName>
    <definedName name="\AA">#REF!</definedName>
    <definedName name="\B">#REF!</definedName>
    <definedName name="\C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P">#REF!</definedName>
    <definedName name="\Q">#REF!</definedName>
    <definedName name="\R">#REF!</definedName>
    <definedName name="\S">#REF!</definedName>
    <definedName name="\T">#REF!</definedName>
    <definedName name="\U">#REF!</definedName>
    <definedName name="\V">#REF!</definedName>
    <definedName name="\W">#REF!</definedName>
    <definedName name="\X">#REF!</definedName>
    <definedName name="\Y">#REF!</definedName>
    <definedName name="\Z">#REF!</definedName>
    <definedName name="_C1">#REF!</definedName>
    <definedName name="_C2">#REF!</definedName>
    <definedName name="_xlnm._FilterDatabase" localSheetId="0" hidden="1">'JOB ASSIGNER'!$A$5:$B$75</definedName>
    <definedName name="_Order1" hidden="1">255</definedName>
    <definedName name="_Order2" hidden="1">255</definedName>
    <definedName name="_Sort" hidden="1">#REF!</definedName>
    <definedName name="COST">#REF!</definedName>
    <definedName name="DBASE">#REF!</definedName>
    <definedName name="forecast">[1]USAGES!#REF!</definedName>
    <definedName name="G">#REF!</definedName>
    <definedName name="GG">#REF!</definedName>
    <definedName name="_xlnm.Print_Area" localSheetId="0">'JOB ASSIGNER'!$A$1:$G$49</definedName>
    <definedName name="VALUE">#REF!</definedName>
  </definedNames>
  <calcPr calcId="162913"/>
</workbook>
</file>

<file path=xl/calcChain.xml><?xml version="1.0" encoding="utf-8"?>
<calcChain xmlns="http://schemas.openxmlformats.org/spreadsheetml/2006/main">
  <c r="F3" i="8" l="1"/>
  <c r="L3" i="16" l="1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2" i="16"/>
  <c r="D100" i="16" l="1"/>
  <c r="D101" i="16"/>
  <c r="D102" i="16"/>
  <c r="D103" i="16"/>
  <c r="D104" i="16"/>
  <c r="D105" i="16"/>
  <c r="D106" i="16"/>
  <c r="D107" i="16"/>
  <c r="D99" i="16"/>
  <c r="A58" i="18" l="1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52" i="18"/>
  <c r="B52" i="18"/>
  <c r="A53" i="18"/>
  <c r="B53" i="18"/>
  <c r="A54" i="18"/>
  <c r="B54" i="18"/>
  <c r="A55" i="18"/>
  <c r="B55" i="18"/>
  <c r="A56" i="18"/>
  <c r="B56" i="18"/>
  <c r="A57" i="18"/>
  <c r="B57" i="18"/>
  <c r="A41" i="18"/>
  <c r="B41" i="18"/>
  <c r="A42" i="18"/>
  <c r="B42" i="18"/>
  <c r="A43" i="18"/>
  <c r="B43" i="18"/>
  <c r="A44" i="18"/>
  <c r="B44" i="18"/>
  <c r="A45" i="18"/>
  <c r="B45" i="18"/>
  <c r="A46" i="18"/>
  <c r="B46" i="18"/>
  <c r="A47" i="18"/>
  <c r="B47" i="18"/>
  <c r="A48" i="18"/>
  <c r="B48" i="18"/>
  <c r="A49" i="18"/>
  <c r="B49" i="18"/>
  <c r="A50" i="18"/>
  <c r="B50" i="18"/>
  <c r="A51" i="18"/>
  <c r="B51" i="18"/>
  <c r="B40" i="18"/>
  <c r="A40" i="18"/>
  <c r="A35" i="18"/>
  <c r="B35" i="18"/>
  <c r="A36" i="18"/>
  <c r="B36" i="18"/>
  <c r="A37" i="18"/>
  <c r="B37" i="18"/>
  <c r="A38" i="18"/>
  <c r="B38" i="18"/>
  <c r="A39" i="18"/>
  <c r="B39" i="18"/>
  <c r="A20" i="18"/>
  <c r="B20" i="18"/>
  <c r="A21" i="18"/>
  <c r="B21" i="18"/>
  <c r="A22" i="18"/>
  <c r="B22" i="18"/>
  <c r="A23" i="18"/>
  <c r="B23" i="18"/>
  <c r="A24" i="18"/>
  <c r="B24" i="18"/>
  <c r="A25" i="18"/>
  <c r="B25" i="18"/>
  <c r="A26" i="18"/>
  <c r="B26" i="18"/>
  <c r="A27" i="18"/>
  <c r="B27" i="18"/>
  <c r="A28" i="18"/>
  <c r="B28" i="18"/>
  <c r="A29" i="18"/>
  <c r="B29" i="18"/>
  <c r="A30" i="18"/>
  <c r="B30" i="18"/>
  <c r="A31" i="18"/>
  <c r="B31" i="18"/>
  <c r="A32" i="18"/>
  <c r="B32" i="18"/>
  <c r="A33" i="18"/>
  <c r="B33" i="18"/>
  <c r="A34" i="18"/>
  <c r="B34" i="18"/>
  <c r="A2" i="18"/>
  <c r="B2" i="18"/>
  <c r="A3" i="18"/>
  <c r="B3" i="18"/>
  <c r="A4" i="18"/>
  <c r="B4" i="18"/>
  <c r="A5" i="18"/>
  <c r="B5" i="18"/>
  <c r="A6" i="18"/>
  <c r="B6" i="18"/>
  <c r="A7" i="18"/>
  <c r="B7" i="18"/>
  <c r="A8" i="18"/>
  <c r="B8" i="18"/>
  <c r="A9" i="18"/>
  <c r="B9" i="18"/>
  <c r="A10" i="18"/>
  <c r="B10" i="18"/>
  <c r="A11" i="18"/>
  <c r="B11" i="18"/>
  <c r="A12" i="18"/>
  <c r="B12" i="18"/>
  <c r="A13" i="18"/>
  <c r="B13" i="18"/>
  <c r="A14" i="18"/>
  <c r="B14" i="18"/>
  <c r="A15" i="18"/>
  <c r="B15" i="18"/>
  <c r="A16" i="18"/>
  <c r="B16" i="18"/>
  <c r="A17" i="18"/>
  <c r="B17" i="18"/>
  <c r="A18" i="18"/>
  <c r="B18" i="18"/>
  <c r="A19" i="18"/>
  <c r="B19" i="18"/>
  <c r="B1" i="18"/>
  <c r="A1" i="18"/>
  <c r="AL2" i="17" l="1"/>
  <c r="AL3" i="17" s="1"/>
  <c r="AL4" i="17" s="1"/>
  <c r="AL5" i="17" s="1"/>
  <c r="AL6" i="17" s="1"/>
  <c r="AL7" i="17" s="1"/>
  <c r="AL8" i="17" s="1"/>
  <c r="AL9" i="17" s="1"/>
  <c r="B24" i="17" l="1"/>
  <c r="B25" i="17" s="1"/>
  <c r="B26" i="17" s="1"/>
  <c r="B12" i="17" l="1"/>
  <c r="B13" i="17" s="1"/>
  <c r="B14" i="17" s="1"/>
  <c r="B15" i="17" s="1"/>
  <c r="B16" i="17" s="1"/>
  <c r="B17" i="17" s="1"/>
  <c r="B18" i="17" s="1"/>
  <c r="B19" i="17" s="1"/>
  <c r="T9" i="17" l="1"/>
  <c r="T10" i="17" s="1"/>
  <c r="T11" i="17" s="1"/>
  <c r="T12" i="17" s="1"/>
  <c r="T13" i="17" s="1"/>
  <c r="T14" i="17" s="1"/>
  <c r="T15" i="17" s="1"/>
  <c r="T16" i="17" s="1"/>
  <c r="T17" i="17" s="1"/>
  <c r="T18" i="17" s="1"/>
  <c r="T19" i="17" s="1"/>
  <c r="T20" i="17" s="1"/>
  <c r="T21" i="17" s="1"/>
  <c r="T22" i="17" s="1"/>
  <c r="T3" i="17" l="1"/>
  <c r="T4" i="17" s="1"/>
  <c r="T5" i="17" s="1"/>
  <c r="T6" i="17" s="1"/>
  <c r="T7" i="17" s="1"/>
  <c r="AF1" i="17" l="1"/>
  <c r="AK5" i="17" l="1"/>
  <c r="AM5" i="17" s="1"/>
  <c r="AK9" i="17"/>
  <c r="AM9" i="17" s="1"/>
  <c r="AK2" i="17"/>
  <c r="AM2" i="17" s="1"/>
  <c r="AK6" i="17"/>
  <c r="AM6" i="17" s="1"/>
  <c r="AK1" i="17"/>
  <c r="AM1" i="17" s="1"/>
  <c r="AK3" i="17"/>
  <c r="AM3" i="17" s="1"/>
  <c r="AK7" i="17"/>
  <c r="AM7" i="17" s="1"/>
  <c r="AK4" i="17"/>
  <c r="AM4" i="17" s="1"/>
  <c r="AK8" i="17"/>
  <c r="AM8" i="17" s="1"/>
  <c r="AG2" i="17"/>
  <c r="AG6" i="17"/>
  <c r="AG1" i="17"/>
  <c r="AG3" i="17"/>
  <c r="AG7" i="17"/>
  <c r="AG4" i="17"/>
  <c r="AG8" i="17"/>
  <c r="AG5" i="17"/>
  <c r="AG9" i="17"/>
  <c r="Q34" i="17"/>
  <c r="Q35" i="17" s="1"/>
  <c r="Q36" i="17" s="1"/>
  <c r="Q37" i="17" s="1"/>
  <c r="Q38" i="17" s="1"/>
  <c r="Q39" i="17" s="1"/>
  <c r="Q40" i="17" s="1"/>
  <c r="Q41" i="17" s="1"/>
  <c r="N37" i="17"/>
  <c r="N41" i="17" s="1"/>
  <c r="AN1" i="17" l="1"/>
  <c r="AO1" i="17" s="1"/>
  <c r="D8" i="12" s="1"/>
  <c r="AE1" i="17"/>
  <c r="H27" i="17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H39" i="17" s="1"/>
  <c r="H40" i="17" s="1"/>
  <c r="H41" i="17" s="1"/>
  <c r="H42" i="17" s="1"/>
  <c r="H43" i="17" s="1"/>
  <c r="H44" i="17" s="1"/>
  <c r="E27" i="17"/>
  <c r="E28" i="17" s="1"/>
  <c r="E29" i="17" s="1"/>
  <c r="E30" i="17" s="1"/>
  <c r="E31" i="17" s="1"/>
  <c r="E32" i="17" s="1"/>
  <c r="E33" i="17" s="1"/>
  <c r="E34" i="17" s="1"/>
  <c r="E35" i="17" s="1"/>
  <c r="E36" i="17" s="1"/>
  <c r="E37" i="17" s="1"/>
  <c r="E38" i="17" s="1"/>
  <c r="E39" i="17" s="1"/>
  <c r="E40" i="17" s="1"/>
  <c r="E41" i="17" s="1"/>
  <c r="E42" i="17" s="1"/>
  <c r="E43" i="17" s="1"/>
  <c r="E44" i="17" s="1"/>
  <c r="AB64" i="17" l="1"/>
  <c r="AC65" i="17"/>
  <c r="AD66" i="17"/>
  <c r="AB68" i="17"/>
  <c r="AC69" i="17"/>
  <c r="AD70" i="17"/>
  <c r="AB72" i="17"/>
  <c r="AC73" i="17"/>
  <c r="AD74" i="17"/>
  <c r="AB63" i="17"/>
  <c r="AC64" i="17"/>
  <c r="AD65" i="17"/>
  <c r="AB67" i="17"/>
  <c r="AC68" i="17"/>
  <c r="AD69" i="17"/>
  <c r="AB71" i="17"/>
  <c r="AC72" i="17"/>
  <c r="AD73" i="17"/>
  <c r="AC63" i="17"/>
  <c r="AD64" i="17"/>
  <c r="AB66" i="17"/>
  <c r="AC67" i="17"/>
  <c r="AD68" i="17"/>
  <c r="AB70" i="17"/>
  <c r="AC71" i="17"/>
  <c r="AD72" i="17"/>
  <c r="AB74" i="17"/>
  <c r="AD63" i="17"/>
  <c r="AB65" i="17"/>
  <c r="AC66" i="17"/>
  <c r="AD67" i="17"/>
  <c r="AB69" i="17"/>
  <c r="AC70" i="17"/>
  <c r="AD71" i="17"/>
  <c r="AB73" i="17"/>
  <c r="AC74" i="17"/>
  <c r="AD28" i="17"/>
  <c r="AD29" i="17"/>
  <c r="AD26" i="17"/>
  <c r="AD31" i="17"/>
  <c r="AD27" i="17"/>
  <c r="AD30" i="17"/>
  <c r="AB60" i="17"/>
  <c r="AC61" i="17"/>
  <c r="AD62" i="17"/>
  <c r="AC60" i="17"/>
  <c r="AD61" i="17"/>
  <c r="AD60" i="17"/>
  <c r="AB62" i="17"/>
  <c r="AB61" i="17"/>
  <c r="AC62" i="17"/>
  <c r="AB59" i="17"/>
  <c r="AC59" i="17"/>
  <c r="AD59" i="17"/>
  <c r="AB58" i="17"/>
  <c r="AC58" i="17"/>
  <c r="AD58" i="17"/>
  <c r="B28" i="17"/>
  <c r="B29" i="17" s="1"/>
  <c r="B31" i="17" s="1"/>
  <c r="B32" i="17" s="1"/>
  <c r="B34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AD2" i="17" l="1"/>
  <c r="AB1" i="17"/>
  <c r="AC1" i="17"/>
  <c r="AB2" i="17"/>
  <c r="AB4" i="17"/>
  <c r="AB6" i="17"/>
  <c r="AB8" i="17"/>
  <c r="AB10" i="17"/>
  <c r="AB12" i="17"/>
  <c r="AB14" i="17"/>
  <c r="AB16" i="17"/>
  <c r="AB18" i="17"/>
  <c r="AB20" i="17"/>
  <c r="AB22" i="17"/>
  <c r="AB24" i="17"/>
  <c r="AB26" i="17"/>
  <c r="AB28" i="17"/>
  <c r="AB30" i="17"/>
  <c r="AB32" i="17"/>
  <c r="AB34" i="17"/>
  <c r="AB36" i="17"/>
  <c r="AB38" i="17"/>
  <c r="AB40" i="17"/>
  <c r="AB42" i="17"/>
  <c r="AB44" i="17"/>
  <c r="AB46" i="17"/>
  <c r="AB48" i="17"/>
  <c r="AB50" i="17"/>
  <c r="AB52" i="17"/>
  <c r="AB54" i="17"/>
  <c r="AB56" i="17"/>
  <c r="AD6" i="17"/>
  <c r="AD10" i="17"/>
  <c r="AD14" i="17"/>
  <c r="AD18" i="17"/>
  <c r="AD22" i="17"/>
  <c r="AD34" i="17"/>
  <c r="AD38" i="17"/>
  <c r="AD42" i="17"/>
  <c r="AD46" i="17"/>
  <c r="AD50" i="17"/>
  <c r="AD54" i="17"/>
  <c r="AC7" i="17"/>
  <c r="AC17" i="17"/>
  <c r="AC23" i="17"/>
  <c r="AC31" i="17"/>
  <c r="AC37" i="17"/>
  <c r="AC43" i="17"/>
  <c r="AC49" i="17"/>
  <c r="AC55" i="17"/>
  <c r="AD9" i="17"/>
  <c r="AD21" i="17"/>
  <c r="AD33" i="17"/>
  <c r="AD45" i="17"/>
  <c r="AD57" i="17"/>
  <c r="AC2" i="17"/>
  <c r="AC4" i="17"/>
  <c r="AC6" i="17"/>
  <c r="AC8" i="17"/>
  <c r="AC10" i="17"/>
  <c r="AC12" i="17"/>
  <c r="AC14" i="17"/>
  <c r="AC16" i="17"/>
  <c r="AC18" i="17"/>
  <c r="AC20" i="17"/>
  <c r="AC22" i="17"/>
  <c r="AC24" i="17"/>
  <c r="AC26" i="17"/>
  <c r="AC28" i="17"/>
  <c r="AC30" i="17"/>
  <c r="AC32" i="17"/>
  <c r="AC34" i="17"/>
  <c r="AC36" i="17"/>
  <c r="AC38" i="17"/>
  <c r="AC40" i="17"/>
  <c r="AC42" i="17"/>
  <c r="AC44" i="17"/>
  <c r="AC46" i="17"/>
  <c r="AC48" i="17"/>
  <c r="AC50" i="17"/>
  <c r="AC52" i="17"/>
  <c r="AC54" i="17"/>
  <c r="AC56" i="17"/>
  <c r="AD3" i="17"/>
  <c r="AD7" i="17"/>
  <c r="AD11" i="17"/>
  <c r="AD15" i="17"/>
  <c r="AD19" i="17"/>
  <c r="AD23" i="17"/>
  <c r="AD35" i="17"/>
  <c r="AD39" i="17"/>
  <c r="AD43" i="17"/>
  <c r="AD47" i="17"/>
  <c r="AD51" i="17"/>
  <c r="AD55" i="17"/>
  <c r="AC5" i="17"/>
  <c r="AC9" i="17"/>
  <c r="AC13" i="17"/>
  <c r="AC19" i="17"/>
  <c r="AC27" i="17"/>
  <c r="AC33" i="17"/>
  <c r="AC39" i="17"/>
  <c r="AC47" i="17"/>
  <c r="AC53" i="17"/>
  <c r="AD5" i="17"/>
  <c r="AD17" i="17"/>
  <c r="AD25" i="17"/>
  <c r="AD37" i="17"/>
  <c r="AD49" i="17"/>
  <c r="AB3" i="17"/>
  <c r="AB5" i="17"/>
  <c r="AB7" i="17"/>
  <c r="AB9" i="17"/>
  <c r="AB11" i="17"/>
  <c r="AB13" i="17"/>
  <c r="AB15" i="17"/>
  <c r="AB17" i="17"/>
  <c r="AB19" i="17"/>
  <c r="AB21" i="17"/>
  <c r="AB23" i="17"/>
  <c r="AB25" i="17"/>
  <c r="AB27" i="17"/>
  <c r="AB29" i="17"/>
  <c r="AB31" i="17"/>
  <c r="AB33" i="17"/>
  <c r="AB35" i="17"/>
  <c r="AB37" i="17"/>
  <c r="AB39" i="17"/>
  <c r="AB41" i="17"/>
  <c r="AB43" i="17"/>
  <c r="AB45" i="17"/>
  <c r="AB47" i="17"/>
  <c r="AB49" i="17"/>
  <c r="AB51" i="17"/>
  <c r="AB53" i="17"/>
  <c r="AB55" i="17"/>
  <c r="AB57" i="17"/>
  <c r="AD4" i="17"/>
  <c r="AD8" i="17"/>
  <c r="AD12" i="17"/>
  <c r="AD16" i="17"/>
  <c r="AD20" i="17"/>
  <c r="AD24" i="17"/>
  <c r="AD32" i="17"/>
  <c r="AD36" i="17"/>
  <c r="AD40" i="17"/>
  <c r="AD44" i="17"/>
  <c r="AD48" i="17"/>
  <c r="AD52" i="17"/>
  <c r="AD56" i="17"/>
  <c r="AD1" i="17"/>
  <c r="AC3" i="17"/>
  <c r="AC11" i="17"/>
  <c r="AC15" i="17"/>
  <c r="AC21" i="17"/>
  <c r="AC25" i="17"/>
  <c r="AC29" i="17"/>
  <c r="AC35" i="17"/>
  <c r="AC41" i="17"/>
  <c r="AC45" i="17"/>
  <c r="AC51" i="17"/>
  <c r="AC57" i="17"/>
  <c r="AD13" i="17"/>
  <c r="AD41" i="17"/>
  <c r="AD53" i="17"/>
  <c r="A2" i="16"/>
  <c r="D90" i="16" l="1"/>
  <c r="D91" i="16"/>
  <c r="D92" i="16"/>
  <c r="D93" i="16"/>
  <c r="D94" i="16"/>
  <c r="D95" i="16"/>
  <c r="D96" i="16"/>
  <c r="D97" i="16"/>
  <c r="D98" i="16"/>
  <c r="D89" i="16"/>
  <c r="D79" i="16" l="1"/>
  <c r="D80" i="16"/>
  <c r="D81" i="16"/>
  <c r="D82" i="16"/>
  <c r="D83" i="16"/>
  <c r="D84" i="16"/>
  <c r="D85" i="16"/>
  <c r="D86" i="16"/>
  <c r="D87" i="16"/>
  <c r="D88" i="16"/>
  <c r="D70" i="16"/>
  <c r="D71" i="16"/>
  <c r="D72" i="16"/>
  <c r="D73" i="16"/>
  <c r="D74" i="16"/>
  <c r="D75" i="16"/>
  <c r="D76" i="16"/>
  <c r="D77" i="16"/>
  <c r="D78" i="16"/>
  <c r="D69" i="16"/>
  <c r="D67" i="16"/>
  <c r="D68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52" i="16"/>
  <c r="D42" i="16"/>
  <c r="D43" i="16"/>
  <c r="D44" i="16"/>
  <c r="D45" i="16"/>
  <c r="D46" i="16"/>
  <c r="D47" i="16"/>
  <c r="D48" i="16"/>
  <c r="D49" i="16"/>
  <c r="D50" i="16"/>
  <c r="D51" i="16"/>
  <c r="D41" i="16"/>
  <c r="D31" i="16"/>
  <c r="D32" i="16"/>
  <c r="D33" i="16"/>
  <c r="D34" i="16"/>
  <c r="D35" i="16"/>
  <c r="D36" i="16"/>
  <c r="D37" i="16"/>
  <c r="D38" i="16"/>
  <c r="D39" i="16"/>
  <c r="D40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13" i="16"/>
  <c r="D3" i="16"/>
  <c r="D4" i="16"/>
  <c r="D5" i="16"/>
  <c r="D6" i="16"/>
  <c r="D7" i="16"/>
  <c r="D8" i="16"/>
  <c r="D9" i="16"/>
  <c r="D10" i="16"/>
  <c r="D11" i="16"/>
  <c r="D12" i="16"/>
  <c r="D2" i="16"/>
  <c r="E19" i="16" l="1"/>
  <c r="E23" i="16"/>
  <c r="E27" i="16"/>
  <c r="E31" i="16"/>
  <c r="E35" i="16"/>
  <c r="E39" i="16"/>
  <c r="E43" i="16"/>
  <c r="E47" i="16"/>
  <c r="E51" i="16"/>
  <c r="E55" i="16"/>
  <c r="E59" i="16"/>
  <c r="E63" i="16"/>
  <c r="E67" i="16"/>
  <c r="E71" i="16"/>
  <c r="E75" i="16"/>
  <c r="E79" i="16"/>
  <c r="E83" i="16"/>
  <c r="E87" i="16"/>
  <c r="E91" i="16"/>
  <c r="E95" i="16"/>
  <c r="E3" i="16"/>
  <c r="E7" i="16"/>
  <c r="E11" i="16"/>
  <c r="E15" i="16"/>
  <c r="E2" i="16"/>
  <c r="E29" i="16"/>
  <c r="E37" i="16"/>
  <c r="E45" i="16"/>
  <c r="E53" i="16"/>
  <c r="E61" i="16"/>
  <c r="E69" i="16"/>
  <c r="E77" i="16"/>
  <c r="E85" i="16"/>
  <c r="E93" i="16"/>
  <c r="E5" i="16"/>
  <c r="E13" i="16"/>
  <c r="E22" i="16"/>
  <c r="E30" i="16"/>
  <c r="E34" i="16"/>
  <c r="E42" i="16"/>
  <c r="E50" i="16"/>
  <c r="E58" i="16"/>
  <c r="E66" i="16"/>
  <c r="E82" i="16"/>
  <c r="E90" i="16"/>
  <c r="E98" i="16"/>
  <c r="E10" i="16"/>
  <c r="E18" i="16"/>
  <c r="E20" i="16"/>
  <c r="E24" i="16"/>
  <c r="E28" i="16"/>
  <c r="E32" i="16"/>
  <c r="E36" i="16"/>
  <c r="E40" i="16"/>
  <c r="E44" i="16"/>
  <c r="E48" i="16"/>
  <c r="E52" i="16"/>
  <c r="E56" i="16"/>
  <c r="E60" i="16"/>
  <c r="E64" i="16"/>
  <c r="E68" i="16"/>
  <c r="E72" i="16"/>
  <c r="E76" i="16"/>
  <c r="E80" i="16"/>
  <c r="E84" i="16"/>
  <c r="E88" i="16"/>
  <c r="E92" i="16"/>
  <c r="E96" i="16"/>
  <c r="E4" i="16"/>
  <c r="E8" i="16"/>
  <c r="E12" i="16"/>
  <c r="E16" i="16"/>
  <c r="E25" i="16"/>
  <c r="E33" i="16"/>
  <c r="E41" i="16"/>
  <c r="E49" i="16"/>
  <c r="E57" i="16"/>
  <c r="E65" i="16"/>
  <c r="E73" i="16"/>
  <c r="E81" i="16"/>
  <c r="E89" i="16"/>
  <c r="E97" i="16"/>
  <c r="E9" i="16"/>
  <c r="E17" i="16"/>
  <c r="E26" i="16"/>
  <c r="E38" i="16"/>
  <c r="E46" i="16"/>
  <c r="E54" i="16"/>
  <c r="E62" i="16"/>
  <c r="E70" i="16"/>
  <c r="E74" i="16"/>
  <c r="E78" i="16"/>
  <c r="E86" i="16"/>
  <c r="E94" i="16"/>
  <c r="E6" i="16"/>
  <c r="E14" i="16"/>
  <c r="E21" i="16"/>
  <c r="G4" i="12" l="1"/>
  <c r="I4" i="12" l="1"/>
  <c r="H4" i="12"/>
  <c r="F4" i="12"/>
  <c r="D4" i="12" l="1"/>
  <c r="D14" i="12" s="1"/>
  <c r="D6" i="12" s="1"/>
  <c r="B36" i="12" l="1"/>
  <c r="B35" i="12"/>
  <c r="B34" i="12"/>
  <c r="B33" i="12"/>
  <c r="B32" i="12"/>
  <c r="B31" i="12"/>
  <c r="B30" i="12"/>
  <c r="B29" i="12"/>
  <c r="B28" i="12"/>
  <c r="B27" i="12"/>
  <c r="B21" i="12"/>
  <c r="B22" i="12"/>
  <c r="B23" i="12"/>
  <c r="B24" i="12"/>
  <c r="B25" i="12"/>
  <c r="B26" i="12"/>
  <c r="B20" i="12"/>
  <c r="B9" i="12"/>
  <c r="B10" i="12"/>
  <c r="B11" i="12"/>
  <c r="B12" i="12"/>
  <c r="B13" i="12"/>
  <c r="B14" i="12"/>
  <c r="B15" i="12"/>
  <c r="B16" i="12"/>
  <c r="B17" i="12"/>
  <c r="B18" i="12"/>
  <c r="B19" i="12"/>
  <c r="B8" i="12"/>
  <c r="B7" i="12"/>
  <c r="B3" i="12"/>
  <c r="B4" i="12"/>
  <c r="B5" i="12"/>
  <c r="B6" i="12"/>
  <c r="B2" i="12"/>
  <c r="P107" i="8" l="1"/>
</calcChain>
</file>

<file path=xl/sharedStrings.xml><?xml version="1.0" encoding="utf-8"?>
<sst xmlns="http://schemas.openxmlformats.org/spreadsheetml/2006/main" count="1159" uniqueCount="253">
  <si>
    <t>DATE:</t>
  </si>
  <si>
    <t>STACKPOLE JOB ASSIGNMENT SHEET</t>
  </si>
  <si>
    <t xml:space="preserve"> </t>
  </si>
  <si>
    <t>Presses</t>
  </si>
  <si>
    <t>Finishing</t>
  </si>
  <si>
    <t>Furnaces</t>
  </si>
  <si>
    <t>Not Available</t>
  </si>
  <si>
    <t>Relief / Note</t>
  </si>
  <si>
    <t>Left To Schedule</t>
  </si>
  <si>
    <t>Continental Shift</t>
  </si>
  <si>
    <t>Plant 3 Afternoon Shift</t>
  </si>
  <si>
    <t>Plant 3</t>
  </si>
  <si>
    <t>Press 271</t>
  </si>
  <si>
    <t>Press 272</t>
  </si>
  <si>
    <t>Press 273</t>
  </si>
  <si>
    <t>Press 278</t>
  </si>
  <si>
    <t>Press 277</t>
  </si>
  <si>
    <t>100% GF6 Reaction</t>
  </si>
  <si>
    <t>100% GF6 Inputs</t>
  </si>
  <si>
    <t>100% Output</t>
  </si>
  <si>
    <t>Output Loop</t>
  </si>
  <si>
    <t>Input Cell - Auto</t>
  </si>
  <si>
    <t>Output Op 10</t>
  </si>
  <si>
    <t>Output Off-line Op 7/10</t>
  </si>
  <si>
    <t>Output Op 7</t>
  </si>
  <si>
    <t>Ultra Sound Tester</t>
  </si>
  <si>
    <t>343/344/345 Output Unload</t>
  </si>
  <si>
    <t>343/344/345 Output Load</t>
  </si>
  <si>
    <t>346 Input Unload</t>
  </si>
  <si>
    <t>346 Input Load</t>
  </si>
  <si>
    <t>342 Unload</t>
  </si>
  <si>
    <t>342 Load (9HP)</t>
  </si>
  <si>
    <t xml:space="preserve">341 Unload </t>
  </si>
  <si>
    <t>341 Load (9HP/4900)</t>
  </si>
  <si>
    <t>Setter Operators</t>
  </si>
  <si>
    <t>Input Cell - 687/Makino</t>
  </si>
  <si>
    <t>100% 6L Input</t>
  </si>
  <si>
    <t>Inspection</t>
  </si>
  <si>
    <t>100% GF6 InputsX24</t>
  </si>
  <si>
    <t>100% GF6 ReactionX24</t>
  </si>
  <si>
    <t>ZF Machining</t>
  </si>
  <si>
    <t>A Days P1</t>
  </si>
  <si>
    <t>B Days P1</t>
  </si>
  <si>
    <t/>
  </si>
  <si>
    <t>Plant 3 Aft</t>
  </si>
  <si>
    <t>Thursday_November_15_2018</t>
  </si>
  <si>
    <t>Thursday</t>
  </si>
  <si>
    <t>November</t>
  </si>
  <si>
    <t>6L Output Op20 Mainline</t>
  </si>
  <si>
    <t>6L Output Op20 Offline</t>
  </si>
  <si>
    <t>ZF Inspect</t>
  </si>
  <si>
    <t>Schedule</t>
  </si>
  <si>
    <t>Master List</t>
  </si>
  <si>
    <t>Continental</t>
  </si>
  <si>
    <t>Used Manpower</t>
  </si>
  <si>
    <t>Update List</t>
  </si>
  <si>
    <t>Sorted List</t>
  </si>
  <si>
    <t>.</t>
  </si>
  <si>
    <t>Continental Shift Used</t>
  </si>
  <si>
    <t>Current Continental Shift</t>
  </si>
  <si>
    <t>Plant 1 Days</t>
  </si>
  <si>
    <t>Plant 1 Aft</t>
  </si>
  <si>
    <t>Plant 1 Mid</t>
  </si>
  <si>
    <t>Plant 3 Days</t>
  </si>
  <si>
    <t>Plant 3 Mid</t>
  </si>
  <si>
    <t>Plant 4 Day</t>
  </si>
  <si>
    <t>Plant 4 Aft</t>
  </si>
  <si>
    <t>Plant 4 Mid</t>
  </si>
  <si>
    <t>Plant 1 Day Shift</t>
  </si>
  <si>
    <t>Plant 1 Afternoon Shift</t>
  </si>
  <si>
    <t>Plant 1 Midnight Shift</t>
  </si>
  <si>
    <t>Plant 3 Day Shift</t>
  </si>
  <si>
    <t>Plant 3 Midnight Shift</t>
  </si>
  <si>
    <t>Plant 4 Day Shift</t>
  </si>
  <si>
    <t>Plant 4 Afternoon Shift</t>
  </si>
  <si>
    <t>Plant 4 Midnight Shift</t>
  </si>
  <si>
    <t>686 / 574 (Op10)</t>
  </si>
  <si>
    <t>748 / 749</t>
  </si>
  <si>
    <t>620 / 614 (Op20)</t>
  </si>
  <si>
    <t>581 / 627 (Op10)</t>
  </si>
  <si>
    <t>564 (Op20)</t>
  </si>
  <si>
    <t>Wafers / Pellets</t>
  </si>
  <si>
    <t>621 (Op30)</t>
  </si>
  <si>
    <t>262/263</t>
  </si>
  <si>
    <t>1601 / 1604 (Op10/20)</t>
  </si>
  <si>
    <t>349 - 10R Load</t>
  </si>
  <si>
    <t>1602 / 1603(Op10/20)</t>
  </si>
  <si>
    <t>771 / 772 (Op10/20)</t>
  </si>
  <si>
    <t>349 - 10R UnLoad</t>
  </si>
  <si>
    <t>1605 (Op30)</t>
  </si>
  <si>
    <t>314 - Load</t>
  </si>
  <si>
    <t>1607 (Op30)</t>
  </si>
  <si>
    <t>316 - Load</t>
  </si>
  <si>
    <t>1606 (Op30)</t>
  </si>
  <si>
    <t>314 - Supply</t>
  </si>
  <si>
    <t>1608 (Op30)</t>
  </si>
  <si>
    <t>314 - Unload</t>
  </si>
  <si>
    <t>GF6 Reaction Op 10</t>
  </si>
  <si>
    <t>316 - Unload</t>
  </si>
  <si>
    <t>GF6 Reaction Op 10/20</t>
  </si>
  <si>
    <t>331 - Load</t>
  </si>
  <si>
    <t>GF6 Reaction Op 20</t>
  </si>
  <si>
    <t>331 - Supply</t>
  </si>
  <si>
    <t>GF6 Reaction Op 40</t>
  </si>
  <si>
    <t>331 - Unload</t>
  </si>
  <si>
    <t>GF6 Reaction Op 50</t>
  </si>
  <si>
    <t>Carrier Assembler</t>
  </si>
  <si>
    <t>Vision / Broach</t>
  </si>
  <si>
    <t>Danly/600R</t>
  </si>
  <si>
    <t>Magna Opt/Tri</t>
  </si>
  <si>
    <t>1504 / 1506 (10/20)</t>
  </si>
  <si>
    <t>1519 / 1520 (10/20)</t>
  </si>
  <si>
    <t>1518 / 1521 (10/20)</t>
  </si>
  <si>
    <t>1502 / 1507 (30)</t>
  </si>
  <si>
    <t>GFx Balance</t>
  </si>
  <si>
    <t>GFx HP Wash</t>
  </si>
  <si>
    <t>1501 / 1515 (40)</t>
  </si>
  <si>
    <t>GFx Slurry</t>
  </si>
  <si>
    <t>1525 (40) Offline</t>
  </si>
  <si>
    <t>GFx Inspect</t>
  </si>
  <si>
    <t>1508 / 1532 / 1509 / 1514</t>
  </si>
  <si>
    <t>GFx Pack</t>
  </si>
  <si>
    <t>1538 / 1541 / 1531 (Offline)</t>
  </si>
  <si>
    <t>1510(80) / 1503 (100)</t>
  </si>
  <si>
    <t>1527(80) Offline</t>
  </si>
  <si>
    <t>1513(90) / 1511(110)</t>
  </si>
  <si>
    <t>1530(100) Offline</t>
  </si>
  <si>
    <t>1528(110) Offline</t>
  </si>
  <si>
    <t>10R Inspect</t>
  </si>
  <si>
    <t>10R Final Pack</t>
  </si>
  <si>
    <t>10R CMM</t>
  </si>
  <si>
    <t>Magna Pack Opt</t>
  </si>
  <si>
    <t>Magna Pack Trilobe</t>
  </si>
  <si>
    <t>Oil &amp; Pack Magna</t>
  </si>
  <si>
    <t>Tesma Slurry</t>
  </si>
  <si>
    <t>Tesma Wash/Inspect</t>
  </si>
  <si>
    <t>10R Certify</t>
  </si>
  <si>
    <t>Mag Helper</t>
  </si>
  <si>
    <t>Magna GP12</t>
  </si>
  <si>
    <t>Press 240</t>
  </si>
  <si>
    <t>Press 241</t>
  </si>
  <si>
    <t>Press 242</t>
  </si>
  <si>
    <t>Press 245</t>
  </si>
  <si>
    <t>Press 261</t>
  </si>
  <si>
    <t>10R</t>
  </si>
  <si>
    <t>Machining</t>
  </si>
  <si>
    <t>748 / 749 (3632)</t>
  </si>
  <si>
    <t>773 / 774 (Op10/20)</t>
  </si>
  <si>
    <t>623 / 624 / 626 (Op40)</t>
  </si>
  <si>
    <t>775 / 776 (Op50)</t>
  </si>
  <si>
    <t>1539 (30)</t>
  </si>
  <si>
    <t>1540(30)/1524(40)</t>
  </si>
  <si>
    <t>637/638/639</t>
  </si>
  <si>
    <t>Tesma/5710 CNC</t>
  </si>
  <si>
    <t>10R ASSEMBLER</t>
  </si>
  <si>
    <t>625 Machine</t>
  </si>
  <si>
    <t>1522 / 1523 (10/20)</t>
  </si>
  <si>
    <t>1543 (Op30)</t>
  </si>
  <si>
    <t>1524 (Op40)</t>
  </si>
  <si>
    <t>1540(30)</t>
  </si>
  <si>
    <t>1510 (80) / 1513 (90)</t>
  </si>
  <si>
    <t>1503 (100) / 1511 (110)</t>
  </si>
  <si>
    <t>332/333 Load</t>
  </si>
  <si>
    <t>332/333 Unload</t>
  </si>
  <si>
    <t>GF6 Input Wash</t>
  </si>
  <si>
    <t>GF6 Reaction Wash</t>
  </si>
  <si>
    <t>UltraSound/Unload</t>
  </si>
  <si>
    <t>Magnaflux</t>
  </si>
  <si>
    <t>p1day</t>
  </si>
  <si>
    <t>p1aft</t>
  </si>
  <si>
    <t>p1mid</t>
  </si>
  <si>
    <t>p3day</t>
  </si>
  <si>
    <t>p3aft</t>
  </si>
  <si>
    <t>p3mid</t>
  </si>
  <si>
    <t>p4day</t>
  </si>
  <si>
    <t>p4aft</t>
  </si>
  <si>
    <t>p4mid</t>
  </si>
  <si>
    <t>Wafers / Pellets / TPM Sheets</t>
  </si>
  <si>
    <t>Blank</t>
  </si>
  <si>
    <t>A Nights P1</t>
  </si>
  <si>
    <t>B Nights P1</t>
  </si>
  <si>
    <t>none</t>
  </si>
  <si>
    <t>Magna CS-1</t>
  </si>
  <si>
    <t>349 - 10R Unload</t>
  </si>
  <si>
    <t>Magna 200%</t>
  </si>
  <si>
    <t>Casey Himburg</t>
  </si>
  <si>
    <t>Mike Racho;</t>
  </si>
  <si>
    <t>1524 Op40</t>
  </si>
  <si>
    <t>1510(80)  / 1513 (90)</t>
  </si>
  <si>
    <t>Pascale Jolin,</t>
  </si>
  <si>
    <t>5710 GP-12</t>
  </si>
  <si>
    <t>Debbie Koebel</t>
  </si>
  <si>
    <t>Todd MacDonald</t>
  </si>
  <si>
    <t>10R Assembler</t>
  </si>
  <si>
    <t>Collin Miller</t>
  </si>
  <si>
    <t>1523/1522 (10R 60)</t>
  </si>
  <si>
    <t>Jim Proudlove</t>
  </si>
  <si>
    <t>Shawn Trotter</t>
  </si>
  <si>
    <t>Janice Koehler</t>
  </si>
  <si>
    <t>Press 248</t>
  </si>
  <si>
    <t>Sara Wood</t>
  </si>
  <si>
    <t>Terry Cook</t>
  </si>
  <si>
    <t>Wafers / Pellets/TPM Sheets</t>
  </si>
  <si>
    <t>Regan Hopkins</t>
  </si>
  <si>
    <t>Danly</t>
  </si>
  <si>
    <t>Eugene Dent</t>
  </si>
  <si>
    <t>Mary Streicher</t>
  </si>
  <si>
    <t>Joyce Murray</t>
  </si>
  <si>
    <t>Stacy Reid</t>
  </si>
  <si>
    <t>Ian Hamer</t>
  </si>
  <si>
    <t>John Bazylewicz</t>
  </si>
  <si>
    <t>Yvonne McLeod</t>
  </si>
  <si>
    <t>Christine Walker</t>
  </si>
  <si>
    <t>Tim Brickman</t>
  </si>
  <si>
    <t>Berhe Amare</t>
  </si>
  <si>
    <t>Gail Weiler</t>
  </si>
  <si>
    <t>Nancy Ney</t>
  </si>
  <si>
    <t>Sandra West</t>
  </si>
  <si>
    <t>Darryk Kunkel;</t>
  </si>
  <si>
    <t xml:space="preserve">Diane Deschauer, </t>
  </si>
  <si>
    <t>Don Cosstick</t>
  </si>
  <si>
    <t>Efrem Tedla;</t>
  </si>
  <si>
    <t>Hunter Vokey (S)</t>
  </si>
  <si>
    <t>James Kuepfer</t>
  </si>
  <si>
    <t>Jamie Trachsel;</t>
  </si>
  <si>
    <t>Jaxon Gilbert (S)</t>
  </si>
  <si>
    <t>Jon Wood (S)</t>
  </si>
  <si>
    <t>Jonathan Brunk</t>
  </si>
  <si>
    <t>Lee Zhang_</t>
  </si>
  <si>
    <t>Lidia Salazar Marroquin</t>
  </si>
  <si>
    <t>Mekdes Erassa</t>
  </si>
  <si>
    <t>Shelly Coughtrey,</t>
  </si>
  <si>
    <t>Simon Kuepfer</t>
  </si>
  <si>
    <t>Stanley Tulloch</t>
  </si>
  <si>
    <t>Tammy Ford,</t>
  </si>
  <si>
    <t>Terry Rodwell</t>
  </si>
  <si>
    <t xml:space="preserve">Wengyang Wang </t>
  </si>
  <si>
    <t>Xingfei Gao</t>
  </si>
  <si>
    <t>Christine Taylor_</t>
  </si>
  <si>
    <t>Cindy Williamson_</t>
  </si>
  <si>
    <t>Greg Snider_</t>
  </si>
  <si>
    <t>John Vincent_</t>
  </si>
  <si>
    <t>Kevin Powell_</t>
  </si>
  <si>
    <t>Leanne Zehr_</t>
  </si>
  <si>
    <t>Les Prosser_</t>
  </si>
  <si>
    <t>Rick Woodhouse_</t>
  </si>
  <si>
    <t>Rob Martin_</t>
  </si>
  <si>
    <t>1467 Rework</t>
  </si>
  <si>
    <t>1543/1529(Op30)</t>
  </si>
  <si>
    <t xml:space="preserve"> 1541  (Offline)</t>
  </si>
  <si>
    <t>1528 (110) Offline</t>
  </si>
  <si>
    <t>1522/1523 (10/20</t>
  </si>
  <si>
    <t>1806 (Offline)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</si>
</sst>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dd\ mmm\ d\,\ yyyy"/>
    <numFmt numFmtId="165" formatCode="0;;;@"/>
  </numFmts>
  <fonts count="32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9"/>
      <name val="Arial Rounded MT Bold"/>
      <family val="2"/>
    </font>
    <font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u/>
      <sz val="16"/>
      <name val="Arial"/>
      <family val="2"/>
    </font>
    <font>
      <sz val="10"/>
      <name val="Arial Rounded MT Bold"/>
      <family val="2"/>
    </font>
    <font>
      <b/>
      <u/>
      <sz val="14"/>
      <name val="Arial"/>
      <family val="2"/>
    </font>
    <font>
      <b/>
      <sz val="10"/>
      <color theme="3"/>
      <name val="Arial"/>
      <family val="2"/>
    </font>
    <font>
      <sz val="10"/>
      <color indexed="8"/>
      <name val="Arial Rounded MT Bold"/>
      <family val="2"/>
    </font>
    <font>
      <b/>
      <sz val="11"/>
      <color indexed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9"/>
      <name val="Hack"/>
      <family val="3"/>
    </font>
    <font>
      <sz val="9"/>
      <name val="Hack"/>
      <family val="3"/>
    </font>
    <font>
      <sz val="9"/>
      <color rgb="FF0A010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gradientFill degree="90">
        <stop position="0">
          <color theme="3"/>
        </stop>
        <stop position="1">
          <color theme="3" tint="-0.49803155613879818"/>
        </stop>
      </gradientFill>
    </fill>
    <fill>
      <gradientFill degree="90">
        <stop position="0">
          <color rgb="FFBAD3D4"/>
        </stop>
        <stop position="1">
          <color theme="2" tint="-5.0965910824915313E-2"/>
        </stop>
      </gradientFill>
    </fill>
    <fill>
      <patternFill patternType="solid">
        <fgColor theme="2" tint="-4.9989318521683403E-2"/>
        <bgColor indexed="64"/>
      </patternFill>
    </fill>
    <fill>
      <patternFill patternType="solid">
        <fgColor theme="2" tint="-4.9989318521683403E-2"/>
        <bgColor auto="1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BDCAF5"/>
        <bgColor indexed="64"/>
      </patternFill>
    </fill>
    <fill>
      <patternFill patternType="solid">
        <fgColor rgb="FFFFFF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01">
    <xf numFmtId="0" fontId="0" fillId="0" borderId="0" xfId="0"/>
    <xf numFmtId="0" fontId="13" fillId="0" borderId="0" xfId="0" applyFont="1" applyProtection="1"/>
    <xf numFmtId="0" fontId="11" fillId="0" borderId="0" xfId="0" applyFont="1" applyBorder="1" applyProtection="1"/>
    <xf numFmtId="0" fontId="13" fillId="0" borderId="0" xfId="0" applyFont="1" applyAlignment="1" applyProtection="1">
      <alignment horizontal="center"/>
    </xf>
    <xf numFmtId="0" fontId="0" fillId="0" borderId="0" xfId="0" applyProtection="1"/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1" fillId="0" borderId="0" xfId="0" quotePrefix="1" applyFont="1" applyProtection="1"/>
    <xf numFmtId="0" fontId="1" fillId="0" borderId="0" xfId="0" applyFont="1" applyProtection="1"/>
    <xf numFmtId="9" fontId="0" fillId="0" borderId="0" xfId="1" applyFont="1" applyProtection="1"/>
    <xf numFmtId="9" fontId="8" fillId="0" borderId="0" xfId="1" applyFont="1" applyBorder="1" applyAlignment="1" applyProtection="1">
      <alignment horizontal="center"/>
    </xf>
    <xf numFmtId="9" fontId="8" fillId="0" borderId="0" xfId="1" applyFont="1" applyAlignment="1" applyProtection="1">
      <alignment horizontal="center"/>
    </xf>
    <xf numFmtId="9" fontId="2" fillId="0" borderId="0" xfId="1" applyFont="1" applyBorder="1" applyProtection="1"/>
    <xf numFmtId="9" fontId="7" fillId="0" borderId="0" xfId="1" applyFont="1" applyBorder="1" applyAlignment="1" applyProtection="1">
      <alignment horizontal="left"/>
    </xf>
    <xf numFmtId="9" fontId="8" fillId="0" borderId="0" xfId="1" applyFont="1" applyProtection="1"/>
    <xf numFmtId="9" fontId="8" fillId="0" borderId="0" xfId="1" applyFont="1" applyBorder="1" applyAlignment="1" applyProtection="1">
      <alignment horizontal="left"/>
    </xf>
    <xf numFmtId="9" fontId="7" fillId="0" borderId="0" xfId="1" applyFont="1" applyBorder="1" applyProtection="1"/>
    <xf numFmtId="0" fontId="5" fillId="0" borderId="0" xfId="0" applyFont="1" applyAlignment="1" applyProtection="1">
      <alignment horizontal="left"/>
    </xf>
    <xf numFmtId="0" fontId="2" fillId="0" borderId="0" xfId="0" applyFont="1" applyBorder="1" applyProtection="1"/>
    <xf numFmtId="0" fontId="8" fillId="0" borderId="0" xfId="0" applyFont="1" applyProtection="1"/>
    <xf numFmtId="0" fontId="17" fillId="0" borderId="0" xfId="0" applyFont="1" applyProtection="1"/>
    <xf numFmtId="0" fontId="4" fillId="0" borderId="0" xfId="0" applyFont="1" applyProtection="1"/>
    <xf numFmtId="0" fontId="24" fillId="0" borderId="0" xfId="0" applyFont="1" applyFill="1" applyAlignment="1" applyProtection="1">
      <alignment horizontal="center"/>
    </xf>
    <xf numFmtId="0" fontId="14" fillId="0" borderId="0" xfId="0" applyFont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17" fontId="0" fillId="0" borderId="0" xfId="0" applyNumberFormat="1"/>
    <xf numFmtId="49" fontId="0" fillId="0" borderId="0" xfId="0" applyNumberFormat="1"/>
    <xf numFmtId="49" fontId="1" fillId="0" borderId="3" xfId="0" applyNumberFormat="1" applyFont="1" applyBorder="1" applyAlignment="1" applyProtection="1">
      <alignment horizontal="left"/>
      <protection locked="0"/>
    </xf>
    <xf numFmtId="49" fontId="25" fillId="0" borderId="7" xfId="1" quotePrefix="1" applyNumberFormat="1" applyFont="1" applyBorder="1" applyAlignment="1" applyProtection="1">
      <alignment horizontal="center" vertical="center"/>
      <protection locked="0"/>
    </xf>
    <xf numFmtId="49" fontId="22" fillId="0" borderId="1" xfId="1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left"/>
      <protection locked="0"/>
    </xf>
    <xf numFmtId="49" fontId="25" fillId="0" borderId="4" xfId="1" quotePrefix="1" applyNumberFormat="1" applyFont="1" applyBorder="1" applyAlignment="1" applyProtection="1">
      <alignment horizontal="center" vertical="center"/>
      <protection locked="0"/>
    </xf>
    <xf numFmtId="49" fontId="1" fillId="0" borderId="5" xfId="1" applyNumberFormat="1" applyFont="1" applyFill="1" applyBorder="1" applyAlignment="1" applyProtection="1">
      <alignment horizontal="left"/>
      <protection locked="0"/>
    </xf>
    <xf numFmtId="49" fontId="22" fillId="0" borderId="4" xfId="1" quotePrefix="1" applyNumberFormat="1" applyFont="1" applyBorder="1" applyAlignment="1" applyProtection="1">
      <alignment horizontal="center" vertical="center"/>
      <protection locked="0"/>
    </xf>
    <xf numFmtId="49" fontId="22" fillId="0" borderId="1" xfId="1" quotePrefix="1" applyNumberFormat="1" applyFont="1" applyBorder="1" applyAlignment="1" applyProtection="1">
      <alignment horizontal="center" vertical="center"/>
      <protection locked="0"/>
    </xf>
    <xf numFmtId="49" fontId="1" fillId="0" borderId="4" xfId="1" applyNumberFormat="1" applyFont="1" applyFill="1" applyBorder="1" applyAlignment="1" applyProtection="1">
      <alignment horizontal="left"/>
      <protection locked="0"/>
    </xf>
    <xf numFmtId="49" fontId="25" fillId="0" borderId="1" xfId="1" quotePrefix="1" applyNumberFormat="1" applyFont="1" applyBorder="1" applyAlignment="1" applyProtection="1">
      <alignment horizontal="center" vertical="center"/>
      <protection locked="0"/>
    </xf>
    <xf numFmtId="49" fontId="22" fillId="0" borderId="6" xfId="1" applyNumberFormat="1" applyFont="1" applyBorder="1" applyAlignment="1" applyProtection="1">
      <alignment horizontal="center" vertical="center"/>
      <protection locked="0"/>
    </xf>
    <xf numFmtId="49" fontId="1" fillId="0" borderId="4" xfId="1" applyNumberFormat="1" applyFont="1" applyFill="1" applyBorder="1" applyAlignment="1" applyProtection="1">
      <alignment horizontal="center"/>
      <protection locked="0"/>
    </xf>
    <xf numFmtId="49" fontId="25" fillId="0" borderId="8" xfId="0" applyNumberFormat="1" applyFont="1" applyFill="1" applyBorder="1" applyAlignment="1" applyProtection="1">
      <alignment horizontal="center"/>
      <protection locked="0"/>
    </xf>
    <xf numFmtId="0" fontId="29" fillId="3" borderId="1" xfId="0" applyFont="1" applyFill="1" applyBorder="1"/>
    <xf numFmtId="0" fontId="30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1" xfId="0" applyFont="1" applyBorder="1"/>
    <xf numFmtId="49" fontId="30" fillId="6" borderId="0" xfId="0" applyNumberFormat="1" applyFont="1" applyFill="1"/>
    <xf numFmtId="0" fontId="30" fillId="0" borderId="0" xfId="0" applyFont="1" applyFill="1"/>
    <xf numFmtId="0" fontId="31" fillId="0" borderId="0" xfId="0" applyFont="1"/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7" borderId="9" xfId="0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165" fontId="2" fillId="0" borderId="0" xfId="0" applyNumberFormat="1" applyFont="1"/>
    <xf numFmtId="0" fontId="2" fillId="0" borderId="0" xfId="0" quotePrefix="1" applyFont="1"/>
    <xf numFmtId="9" fontId="16" fillId="0" borderId="0" xfId="1" applyFont="1" applyAlignment="1" applyProtection="1">
      <alignment horizontal="center"/>
      <protection locked="0"/>
    </xf>
    <xf numFmtId="9" fontId="16" fillId="4" borderId="4" xfId="1" applyFont="1" applyFill="1" applyBorder="1" applyAlignment="1" applyProtection="1">
      <alignment horizontal="left"/>
      <protection locked="0"/>
    </xf>
    <xf numFmtId="9" fontId="16" fillId="4" borderId="5" xfId="1" applyFont="1" applyFill="1" applyBorder="1" applyAlignment="1" applyProtection="1">
      <alignment horizontal="left"/>
      <protection locked="0"/>
    </xf>
    <xf numFmtId="9" fontId="16" fillId="4" borderId="5" xfId="1" applyFont="1" applyFill="1" applyBorder="1" applyAlignment="1" applyProtection="1">
      <alignment horizontal="center"/>
      <protection locked="0"/>
    </xf>
    <xf numFmtId="9" fontId="16" fillId="4" borderId="6" xfId="1" applyFont="1" applyFill="1" applyBorder="1" applyAlignment="1" applyProtection="1">
      <alignment horizontal="center"/>
      <protection locked="0"/>
    </xf>
    <xf numFmtId="0" fontId="9" fillId="0" borderId="0" xfId="0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9" fontId="5" fillId="0" borderId="0" xfId="1" applyFont="1" applyAlignment="1" applyProtection="1">
      <alignment horizontal="center"/>
      <protection locked="0"/>
    </xf>
    <xf numFmtId="9" fontId="7" fillId="0" borderId="0" xfId="1" applyFont="1" applyAlignment="1" applyProtection="1">
      <alignment horizontal="center"/>
      <protection locked="0"/>
    </xf>
    <xf numFmtId="13" fontId="23" fillId="0" borderId="0" xfId="1" applyNumberFormat="1" applyFont="1" applyBorder="1" applyAlignment="1" applyProtection="1">
      <alignment horizontal="center"/>
      <protection locked="0"/>
    </xf>
    <xf numFmtId="9" fontId="21" fillId="0" borderId="0" xfId="1" applyFont="1" applyBorder="1" applyAlignment="1" applyProtection="1">
      <alignment horizontal="left"/>
      <protection locked="0"/>
    </xf>
    <xf numFmtId="9" fontId="21" fillId="0" borderId="0" xfId="1" applyFont="1" applyBorder="1" applyAlignment="1" applyProtection="1">
      <alignment horizontal="right"/>
      <protection locked="0"/>
    </xf>
    <xf numFmtId="9" fontId="13" fillId="0" borderId="0" xfId="1" applyFont="1" applyAlignment="1" applyProtection="1">
      <alignment horizontal="center"/>
      <protection locked="0"/>
    </xf>
    <xf numFmtId="9" fontId="10" fillId="0" borderId="0" xfId="1" applyFont="1" applyAlignment="1" applyProtection="1">
      <alignment horizontal="center"/>
      <protection locked="0"/>
    </xf>
    <xf numFmtId="9" fontId="11" fillId="0" borderId="0" xfId="1" applyFont="1" applyBorder="1" applyAlignment="1" applyProtection="1">
      <alignment horizontal="center"/>
      <protection locked="0"/>
    </xf>
    <xf numFmtId="9" fontId="12" fillId="0" borderId="0" xfId="1" applyFont="1" applyBorder="1" applyAlignment="1" applyProtection="1">
      <alignment horizontal="center"/>
      <protection locked="0"/>
    </xf>
    <xf numFmtId="9" fontId="12" fillId="0" borderId="0" xfId="1" applyFont="1" applyAlignment="1" applyProtection="1">
      <alignment horizontal="center"/>
      <protection locked="0"/>
    </xf>
    <xf numFmtId="9" fontId="3" fillId="3" borderId="4" xfId="1" applyFont="1" applyFill="1" applyBorder="1" applyAlignment="1" applyProtection="1">
      <alignment horizontal="center"/>
      <protection locked="0"/>
    </xf>
    <xf numFmtId="9" fontId="3" fillId="3" borderId="5" xfId="1" applyFont="1" applyFill="1" applyBorder="1" applyAlignment="1" applyProtection="1">
      <alignment horizontal="center"/>
      <protection locked="0"/>
    </xf>
    <xf numFmtId="9" fontId="3" fillId="3" borderId="6" xfId="1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 applyProtection="1">
      <alignment horizontal="center"/>
      <protection locked="0"/>
    </xf>
    <xf numFmtId="9" fontId="6" fillId="3" borderId="3" xfId="1" quotePrefix="1" applyFont="1" applyFill="1" applyBorder="1" applyAlignment="1" applyProtection="1">
      <alignment horizontal="center" vertical="center"/>
      <protection locked="0"/>
    </xf>
    <xf numFmtId="9" fontId="20" fillId="3" borderId="2" xfId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9" fontId="3" fillId="8" borderId="1" xfId="1" applyFont="1" applyFill="1" applyBorder="1" applyAlignment="1" applyProtection="1">
      <alignment horizontal="center"/>
      <protection locked="0"/>
    </xf>
    <xf numFmtId="9" fontId="26" fillId="3" borderId="2" xfId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49" fontId="2" fillId="6" borderId="1" xfId="0" applyNumberFormat="1" applyFont="1" applyFill="1" applyBorder="1" applyAlignment="1">
      <alignment horizontal="center"/>
    </xf>
    <xf numFmtId="49" fontId="1" fillId="0" borderId="0" xfId="1" applyNumberFormat="1" applyFont="1" applyFill="1" applyBorder="1" applyAlignment="1" applyProtection="1">
      <alignment horizontal="left"/>
      <protection locked="0"/>
    </xf>
    <xf numFmtId="49" fontId="22" fillId="0" borderId="0" xfId="1" quotePrefix="1" applyNumberFormat="1" applyFont="1" applyBorder="1" applyAlignment="1" applyProtection="1">
      <alignment horizontal="center" vertical="center"/>
      <protection locked="0"/>
    </xf>
    <xf numFmtId="49" fontId="22" fillId="0" borderId="0" xfId="1" applyNumberFormat="1" applyFont="1" applyBorder="1" applyAlignment="1" applyProtection="1">
      <alignment horizontal="center" vertical="center"/>
      <protection locked="0"/>
    </xf>
    <xf numFmtId="49" fontId="30" fillId="0" borderId="0" xfId="0" applyNumberFormat="1" applyFont="1"/>
    <xf numFmtId="0" fontId="2" fillId="9" borderId="0" xfId="0" applyFont="1" applyFill="1"/>
    <xf numFmtId="0" fontId="2" fillId="0" borderId="0" xfId="0" applyFont="1" applyFill="1"/>
    <xf numFmtId="0" fontId="2" fillId="10" borderId="0" xfId="0" applyFont="1" applyFill="1"/>
    <xf numFmtId="0" fontId="2" fillId="11" borderId="0" xfId="0" applyFont="1" applyFill="1"/>
    <xf numFmtId="2" fontId="2" fillId="11" borderId="0" xfId="0" applyNumberFormat="1" applyFont="1" applyFill="1"/>
    <xf numFmtId="164" fontId="27" fillId="0" borderId="0" xfId="0" applyNumberFormat="1" applyFont="1" applyBorder="1" applyAlignment="1" applyProtection="1">
      <alignment horizontal="left"/>
      <protection locked="0"/>
    </xf>
    <xf numFmtId="164" fontId="28" fillId="0" borderId="0" xfId="0" applyNumberFormat="1" applyFont="1" applyAlignment="1" applyProtection="1">
      <protection locked="0"/>
    </xf>
    <xf numFmtId="9" fontId="18" fillId="3" borderId="4" xfId="1" applyFont="1" applyFill="1" applyBorder="1" applyAlignment="1" applyProtection="1">
      <alignment horizontal="center"/>
      <protection locked="0"/>
    </xf>
    <xf numFmtId="0" fontId="19" fillId="3" borderId="5" xfId="0" applyFont="1" applyFill="1" applyBorder="1" applyAlignment="1" applyProtection="1">
      <alignment horizontal="center"/>
      <protection locked="0"/>
    </xf>
    <xf numFmtId="0" fontId="19" fillId="3" borderId="6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37"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ont>
        <color theme="2"/>
      </font>
    </dxf>
    <dxf>
      <fill>
        <patternFill>
          <bgColor rgb="FFBAD3D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3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</dxf>
    <dxf>
      <fill>
        <patternFill>
          <bgColor rgb="FFEACCE7"/>
        </patternFill>
      </fill>
    </dxf>
    <dxf>
      <fill>
        <patternFill>
          <bgColor rgb="FFCFAFE7"/>
        </patternFill>
      </fill>
    </dxf>
    <dxf>
      <fill>
        <patternFill>
          <bgColor rgb="FFBAD3D4"/>
        </patternFill>
      </fill>
    </dxf>
    <dxf>
      <fill>
        <patternFill>
          <bgColor theme="2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2" defaultPivotStyle="PivotStyleLight16"/>
  <colors>
    <mruColors>
      <color rgb="FFFFFF43"/>
      <color rgb="FFBDCAF5"/>
      <color rgb="FFD0E1E2"/>
      <color rgb="FFEACCE7"/>
      <color rgb="FFFFFFCC"/>
      <color rgb="FFBAD3D4"/>
      <color rgb="FFCFAFE7"/>
      <color rgb="FF9BBFC1"/>
      <color rgb="FFB2B2B2"/>
      <color rgb="FF75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173130</xdr:colOff>
      <xdr:row>2</xdr:row>
      <xdr:rowOff>25774</xdr:rowOff>
    </xdr:from>
    <xdr:to>
      <xdr:col>12</xdr:col>
      <xdr:colOff>244288</xdr:colOff>
      <xdr:row>3</xdr:row>
      <xdr:rowOff>99170</xdr:rowOff>
    </xdr:to>
    <xdr:sp macro="[0]!_xludf.Clear" textlink="">
      <xdr:nvSpPr>
        <xdr:cNvPr id="2" name="Rectangle 1"/>
        <xdr:cNvSpPr/>
      </xdr:nvSpPr>
      <xdr:spPr>
        <a:xfrm>
          <a:off x="14857318" y="438150"/>
          <a:ext cx="1622052" cy="369232"/>
        </a:xfrm>
        <a:prstGeom prst="rect">
          <a:avLst/>
        </a:prstGeom>
        <a:gradFill>
          <a:gsLst>
            <a:gs pos="0">
              <a:schemeClr val="lt1">
                <a:tint val="80000"/>
                <a:satMod val="300000"/>
              </a:schemeClr>
            </a:gs>
            <a:gs pos="100000">
              <a:schemeClr val="lt1">
                <a:shade val="30000"/>
                <a:satMod val="200000"/>
              </a:schemeClr>
            </a:gs>
          </a:gsLst>
        </a:gradFill>
        <a:ln>
          <a:solidFill>
            <a:schemeClr val="accent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2"/>
              </a:solidFill>
            </a:rPr>
            <a:t>Clear</a:t>
          </a:r>
          <a:r>
            <a:rPr lang="en-US" sz="1600" baseline="0">
              <a:solidFill>
                <a:schemeClr val="tx2"/>
              </a:solidFill>
            </a:rPr>
            <a:t> Schedule</a:t>
          </a:r>
          <a:endParaRPr lang="en-US" sz="1600">
            <a:solidFill>
              <a:schemeClr val="tx2"/>
            </a:solidFill>
          </a:endParaRPr>
        </a:p>
      </xdr:txBody>
    </xdr:sp>
    <xdr:clientData/>
  </xdr:twoCellAnchor>
  <xdr:twoCellAnchor>
    <xdr:from>
      <xdr:col>11</xdr:col>
      <xdr:colOff>183776</xdr:colOff>
      <xdr:row>5</xdr:row>
      <xdr:rowOff>228598</xdr:rowOff>
    </xdr:from>
    <xdr:to>
      <xdr:col>12</xdr:col>
      <xdr:colOff>244288</xdr:colOff>
      <xdr:row>7</xdr:row>
      <xdr:rowOff>69477</xdr:rowOff>
    </xdr:to>
    <xdr:sp macro="[0]!Archive" textlink="">
      <xdr:nvSpPr>
        <xdr:cNvPr id="7" name="Rectangle 6"/>
        <xdr:cNvSpPr/>
      </xdr:nvSpPr>
      <xdr:spPr>
        <a:xfrm>
          <a:off x="14867964" y="1331257"/>
          <a:ext cx="1611406" cy="378761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bg2"/>
              </a:solidFill>
            </a:rPr>
            <a:t>Archive Schedule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Inventory%20System\INVENTORY%20SYSTE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Manpower\CouldB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MENU"/>
      <sheetName val="X23 REQ'S"/>
      <sheetName val="OP BAL SHEET"/>
      <sheetName val="CSD I INV"/>
      <sheetName val="CSD I WORKSHEET"/>
      <sheetName val="CSD II INV"/>
      <sheetName val="CSD II WORKSHEET"/>
      <sheetName val="PLT DOLLARS"/>
      <sheetName val="Paul's Valuation"/>
      <sheetName val="BLANK CHECKLIST"/>
      <sheetName val="PRODUCTION CHECKLIST"/>
      <sheetName val="ANDON BOARDS"/>
      <sheetName val="PACKAGING INV"/>
      <sheetName val="PACKAGING WORKSHEET"/>
      <sheetName val="USAGES"/>
      <sheetName val="Sheet1"/>
      <sheetName val="DATE"/>
      <sheetName val="CSD II DOH"/>
      <sheetName val="COMPACT SCHEDULE"/>
      <sheetName val="SINTER SCHEDULE"/>
      <sheetName val="MONTH END INV SHEET"/>
      <sheetName val="MONTH END OP BALANCES"/>
      <sheetName val="UPDATE CHECKLIST"/>
      <sheetName val="SPM"/>
      <sheetName val="INVENTORY SYSTEM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 2 Staffing"/>
      <sheetName val="Plant 1 Staffing"/>
      <sheetName val="Shortages"/>
      <sheetName val="Indirect Staffing"/>
      <sheetName val="Layout 1"/>
      <sheetName val="Layout 2"/>
      <sheetName val="Layout 3"/>
      <sheetName val="Job Postings"/>
      <sheetName val="Off"/>
      <sheetName val="Notes"/>
    </sheetNames>
    <sheetDataSet>
      <sheetData sheetId="0">
        <row r="5">
          <cell r="A5" t="str">
            <v>Press 271</v>
          </cell>
        </row>
        <row r="6">
          <cell r="A6" t="str">
            <v>Press 272</v>
          </cell>
        </row>
        <row r="7">
          <cell r="A7" t="str">
            <v>Press 273</v>
          </cell>
        </row>
        <row r="8">
          <cell r="A8" t="str">
            <v>Press 277</v>
          </cell>
        </row>
        <row r="9">
          <cell r="A9" t="str">
            <v>Press 278</v>
          </cell>
        </row>
        <row r="10">
          <cell r="A10" t="str">
            <v>Setter Operators</v>
          </cell>
        </row>
        <row r="13">
          <cell r="A13" t="str">
            <v>341 Load (9HP/4900)</v>
          </cell>
        </row>
        <row r="14">
          <cell r="A14" t="str">
            <v xml:space="preserve">341 Unload </v>
          </cell>
        </row>
        <row r="15">
          <cell r="A15" t="str">
            <v>342 Load (9HP)</v>
          </cell>
        </row>
        <row r="16">
          <cell r="A16" t="str">
            <v>342 Unload</v>
          </cell>
        </row>
        <row r="17">
          <cell r="A17" t="str">
            <v>346 Input Load</v>
          </cell>
        </row>
        <row r="18">
          <cell r="A18" t="str">
            <v>346 Input Load</v>
          </cell>
        </row>
        <row r="19">
          <cell r="A19" t="str">
            <v>346 Input Unload</v>
          </cell>
        </row>
        <row r="20">
          <cell r="A20" t="str">
            <v>343/344/345 Output Load</v>
          </cell>
        </row>
        <row r="21">
          <cell r="A21" t="str">
            <v>343/344/345 Output Load</v>
          </cell>
        </row>
        <row r="22">
          <cell r="A22" t="str">
            <v>343/344/345 Output Load</v>
          </cell>
        </row>
        <row r="23">
          <cell r="A23" t="str">
            <v>343/344/345 Output Unload</v>
          </cell>
        </row>
        <row r="24">
          <cell r="A24" t="str">
            <v>Ultra Sound Tester</v>
          </cell>
        </row>
        <row r="29">
          <cell r="A29" t="str">
            <v>Output Op 7</v>
          </cell>
        </row>
        <row r="30">
          <cell r="A30" t="str">
            <v>Output Off-line Op 7/10</v>
          </cell>
        </row>
        <row r="31">
          <cell r="A31" t="str">
            <v>Output Op 10</v>
          </cell>
        </row>
        <row r="32">
          <cell r="A32" t="str">
            <v>6L Output Op20 Mainline</v>
          </cell>
        </row>
        <row r="33">
          <cell r="A33" t="str">
            <v>6L Output Op20 Offline</v>
          </cell>
        </row>
        <row r="34">
          <cell r="A34" t="str">
            <v>Input Cell - Auto</v>
          </cell>
        </row>
        <row r="35">
          <cell r="A35" t="str">
            <v>Input Cell - 687/Makino</v>
          </cell>
        </row>
        <row r="62">
          <cell r="A62" t="str">
            <v>ZF Machining</v>
          </cell>
        </row>
        <row r="65">
          <cell r="A65" t="str">
            <v>AB1V Reaction Op 40</v>
          </cell>
        </row>
        <row r="74">
          <cell r="A74" t="str">
            <v>AB1V Inputs Op 10</v>
          </cell>
        </row>
        <row r="75">
          <cell r="A75">
            <v>0</v>
          </cell>
        </row>
        <row r="78">
          <cell r="A78" t="str">
            <v>GF6 Rx Wash unload &amp; Broach</v>
          </cell>
        </row>
        <row r="79">
          <cell r="A79" t="str">
            <v>GF6 Input Wash Unload</v>
          </cell>
        </row>
        <row r="80">
          <cell r="A80" t="str">
            <v>GFx Balance / HP Wash / Slurry</v>
          </cell>
        </row>
        <row r="81">
          <cell r="A81" t="str">
            <v>GFx Inspect &amp; Pack</v>
          </cell>
        </row>
        <row r="83">
          <cell r="A83" t="str">
            <v>100% Output</v>
          </cell>
        </row>
        <row r="84">
          <cell r="A84" t="str">
            <v>100% Output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Custom 2">
      <a:dk1>
        <a:srgbClr val="000000"/>
      </a:dk1>
      <a:lt1>
        <a:srgbClr val="000000"/>
      </a:lt1>
      <a:dk2>
        <a:srgbClr val="FFFFFF"/>
      </a:dk2>
      <a:lt2>
        <a:srgbClr val="FFFFFF"/>
      </a:lt2>
      <a:accent1>
        <a:srgbClr val="000000"/>
      </a:accent1>
      <a:accent2>
        <a:srgbClr val="000000"/>
      </a:accent2>
      <a:accent3>
        <a:srgbClr val="000000"/>
      </a:accent3>
      <a:accent4>
        <a:srgbClr val="000000"/>
      </a:accent4>
      <a:accent5>
        <a:srgbClr val="000000"/>
      </a:accent5>
      <a:accent6>
        <a:srgbClr val="000000"/>
      </a:accent6>
      <a:hlink>
        <a:srgbClr val="000000"/>
      </a:hlink>
      <a:folHlink>
        <a:srgbClr val="0000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W111"/>
  <sheetViews>
    <sheetView showGridLines="0" tabSelected="1" topLeftCell="A22" zoomScale="85" zoomScaleNormal="85" workbookViewId="0">
      <selection activeCell="A32" sqref="A32"/>
    </sheetView>
  </sheetViews>
  <sheetFormatPr defaultColWidth="8.88671875" defaultRowHeight="13.2"/>
  <cols>
    <col min="1" max="1" width="24.6640625" style="4" customWidth="1"/>
    <col min="2" max="3" width="22.6640625" style="19" customWidth="1"/>
    <col min="4" max="4" width="3" style="4" customWidth="1"/>
    <col min="5" max="5" width="28" style="20" customWidth="1"/>
    <col min="6" max="6" width="26" style="8" customWidth="1"/>
    <col min="7" max="7" width="22.6640625" style="21" customWidth="1"/>
    <col min="8" max="8" width="8.88671875" style="4"/>
    <col min="9" max="9" width="25.44140625" style="4" customWidth="1"/>
    <col min="10" max="10" width="4.6640625" style="4" customWidth="1"/>
    <col min="11" max="11" width="25.44140625" style="4" customWidth="1"/>
    <col min="12" max="12" width="22.5546875" style="7" customWidth="1"/>
    <col min="13" max="14" width="8.88671875" style="4"/>
    <col min="15" max="15" width="22.44140625" style="1" customWidth="1"/>
    <col min="16" max="16" width="22.44140625" style="3" customWidth="1"/>
    <col min="17" max="23" width="22.44140625" style="1" customWidth="1"/>
    <col min="24" max="24" width="12.6640625" style="4" customWidth="1"/>
    <col min="25" max="26" width="8.88671875" style="4"/>
    <col min="27" max="27" width="15.109375" style="4" bestFit="1" customWidth="1"/>
    <col min="28" max="16384" width="8.88671875" style="4"/>
  </cols>
  <sheetData>
    <row r="1" spans="1:11" ht="22.8">
      <c r="A1" s="57"/>
      <c r="B1" s="58" t="s">
        <v>1</v>
      </c>
      <c r="C1" s="59"/>
      <c r="D1" s="60"/>
      <c r="E1" s="61"/>
      <c r="F1" s="57"/>
      <c r="G1" s="57"/>
      <c r="H1" s="62"/>
      <c r="I1" s="63" t="s">
        <v>51</v>
      </c>
      <c r="J1" s="64"/>
      <c r="K1" s="63" t="s">
        <v>9</v>
      </c>
    </row>
    <row r="2" spans="1:11" ht="9.6" customHeight="1" thickBot="1">
      <c r="A2" s="57"/>
      <c r="B2" s="65"/>
      <c r="C2" s="65"/>
      <c r="D2" s="57"/>
      <c r="E2" s="57"/>
      <c r="F2" s="65"/>
      <c r="G2" s="66"/>
      <c r="H2" s="62"/>
      <c r="I2" s="64"/>
      <c r="J2" s="64"/>
      <c r="K2" s="64"/>
    </row>
    <row r="3" spans="1:11" ht="23.4" thickBot="1">
      <c r="A3" s="67"/>
      <c r="B3" s="68" t="s">
        <v>68</v>
      </c>
      <c r="C3" s="68"/>
      <c r="D3" s="57"/>
      <c r="E3" s="69" t="s">
        <v>0</v>
      </c>
      <c r="F3" s="96">
        <f ca="1">TODAY()</f>
        <v>43567</v>
      </c>
      <c r="G3" s="97"/>
      <c r="H3" s="62"/>
      <c r="I3" s="52" t="s">
        <v>60</v>
      </c>
      <c r="J3" s="64"/>
      <c r="K3" s="51" t="s">
        <v>42</v>
      </c>
    </row>
    <row r="4" spans="1:11" ht="9.9" customHeight="1">
      <c r="A4" s="70"/>
      <c r="B4" s="71"/>
      <c r="C4" s="71"/>
      <c r="D4" s="70"/>
      <c r="E4" s="72"/>
      <c r="F4" s="73"/>
      <c r="G4" s="74"/>
      <c r="H4" s="64"/>
      <c r="I4" s="64"/>
      <c r="J4" s="64"/>
      <c r="K4" s="64"/>
    </row>
    <row r="5" spans="1:11" ht="21.15" customHeight="1">
      <c r="A5" s="75"/>
      <c r="B5" s="76"/>
      <c r="C5" s="77"/>
      <c r="D5" s="70"/>
      <c r="E5" s="75"/>
      <c r="F5" s="76"/>
      <c r="G5" s="77"/>
      <c r="H5" s="64"/>
      <c r="I5" s="84" t="s">
        <v>8</v>
      </c>
      <c r="J5" s="85"/>
      <c r="K5" s="84" t="s">
        <v>59</v>
      </c>
    </row>
    <row r="6" spans="1:11" ht="21.15" customHeight="1">
      <c r="A6" s="78" t="s">
        <v>4</v>
      </c>
      <c r="B6" s="79"/>
      <c r="C6" s="80" t="s">
        <v>7</v>
      </c>
      <c r="D6" s="70"/>
      <c r="E6" s="78" t="s">
        <v>3</v>
      </c>
      <c r="F6" s="79"/>
      <c r="G6" s="80" t="s">
        <v>7</v>
      </c>
      <c r="H6" s="64"/>
      <c r="I6" s="27" t="s">
        <v>220</v>
      </c>
      <c r="J6" s="64"/>
      <c r="K6" s="81" t="s">
        <v>238</v>
      </c>
    </row>
    <row r="7" spans="1:11" ht="21.15" customHeight="1">
      <c r="A7" s="30" t="s">
        <v>153</v>
      </c>
      <c r="B7" s="31" t="s">
        <v>185</v>
      </c>
      <c r="C7" s="32"/>
      <c r="D7" s="70"/>
      <c r="E7" s="41" t="s">
        <v>139</v>
      </c>
      <c r="F7" s="39" t="s">
        <v>203</v>
      </c>
      <c r="G7" s="40"/>
      <c r="H7" s="64"/>
      <c r="I7" s="27" t="s">
        <v>225</v>
      </c>
      <c r="J7" s="64"/>
      <c r="K7" s="81" t="s">
        <v>239</v>
      </c>
    </row>
    <row r="8" spans="1:11" ht="21.15" customHeight="1">
      <c r="A8" s="33" t="s">
        <v>109</v>
      </c>
      <c r="B8" s="34" t="s">
        <v>241</v>
      </c>
      <c r="C8" s="32"/>
      <c r="D8" s="70"/>
      <c r="E8" s="41" t="s">
        <v>140</v>
      </c>
      <c r="F8" s="39" t="s">
        <v>196</v>
      </c>
      <c r="G8" s="40"/>
      <c r="H8" s="64"/>
      <c r="I8" s="27" t="s">
        <v>226</v>
      </c>
      <c r="J8" s="64"/>
      <c r="K8" s="81" t="s">
        <v>240</v>
      </c>
    </row>
    <row r="9" spans="1:11" ht="21.15" customHeight="1">
      <c r="A9" s="33" t="s">
        <v>109</v>
      </c>
      <c r="B9" s="34"/>
      <c r="C9" s="32"/>
      <c r="D9" s="70"/>
      <c r="E9" s="41" t="s">
        <v>141</v>
      </c>
      <c r="F9" s="39" t="s">
        <v>198</v>
      </c>
      <c r="G9" s="40"/>
      <c r="H9" s="64"/>
      <c r="I9" s="27" t="s">
        <v>230</v>
      </c>
      <c r="J9" s="64"/>
      <c r="K9" s="81" t="s">
        <v>241</v>
      </c>
    </row>
    <row r="10" spans="1:11" ht="21" customHeight="1">
      <c r="A10" s="33" t="s">
        <v>109</v>
      </c>
      <c r="B10" s="34" t="s">
        <v>244</v>
      </c>
      <c r="C10" s="32"/>
      <c r="D10" s="70"/>
      <c r="E10" s="41" t="s">
        <v>199</v>
      </c>
      <c r="F10" s="39" t="s">
        <v>197</v>
      </c>
      <c r="G10" s="40"/>
      <c r="H10" s="64"/>
      <c r="I10" s="27" t="s">
        <v>57</v>
      </c>
      <c r="J10" s="64"/>
      <c r="K10" s="81" t="s">
        <v>242</v>
      </c>
    </row>
    <row r="11" spans="1:11" ht="21.15" customHeight="1">
      <c r="A11" s="35" t="s">
        <v>106</v>
      </c>
      <c r="B11" s="34" t="s">
        <v>242</v>
      </c>
      <c r="C11" s="32"/>
      <c r="D11" s="70"/>
      <c r="E11" s="41" t="s">
        <v>143</v>
      </c>
      <c r="F11" s="42" t="s">
        <v>200</v>
      </c>
      <c r="G11" s="40"/>
      <c r="H11" s="64"/>
      <c r="I11" s="27" t="s">
        <v>57</v>
      </c>
      <c r="J11" s="64"/>
      <c r="K11" s="81" t="s">
        <v>243</v>
      </c>
    </row>
    <row r="12" spans="1:11" ht="21.15" customHeight="1">
      <c r="A12" s="35" t="s">
        <v>107</v>
      </c>
      <c r="B12" s="34" t="s">
        <v>246</v>
      </c>
      <c r="C12" s="32"/>
      <c r="D12" s="70"/>
      <c r="E12" s="41" t="s">
        <v>202</v>
      </c>
      <c r="F12" s="39" t="s">
        <v>201</v>
      </c>
      <c r="G12" s="40"/>
      <c r="H12" s="64"/>
      <c r="I12" s="27" t="s">
        <v>57</v>
      </c>
      <c r="J12" s="64"/>
      <c r="K12" s="81" t="s">
        <v>244</v>
      </c>
    </row>
    <row r="13" spans="1:11" ht="21.15" customHeight="1">
      <c r="A13" s="35" t="s">
        <v>131</v>
      </c>
      <c r="B13" s="34" t="s">
        <v>239</v>
      </c>
      <c r="C13" s="32"/>
      <c r="D13" s="70"/>
      <c r="E13" s="41" t="s">
        <v>83</v>
      </c>
      <c r="F13" s="37" t="s">
        <v>240</v>
      </c>
      <c r="G13" s="40"/>
      <c r="H13" s="64"/>
      <c r="I13" s="27" t="s">
        <v>57</v>
      </c>
      <c r="J13" s="64"/>
      <c r="K13" s="81" t="s">
        <v>245</v>
      </c>
    </row>
    <row r="14" spans="1:11" ht="21.15" customHeight="1">
      <c r="A14" s="35" t="s">
        <v>132</v>
      </c>
      <c r="B14" s="34"/>
      <c r="C14" s="32"/>
      <c r="D14" s="70"/>
      <c r="E14" s="41"/>
      <c r="F14" s="37"/>
      <c r="G14" s="40"/>
      <c r="H14" s="64"/>
      <c r="I14" s="27" t="s">
        <v>57</v>
      </c>
      <c r="J14" s="64"/>
      <c r="K14" s="81" t="s">
        <v>246</v>
      </c>
    </row>
    <row r="15" spans="1:11" ht="21.15" customHeight="1">
      <c r="A15" s="35" t="s">
        <v>133</v>
      </c>
      <c r="B15" s="34" t="s">
        <v>243</v>
      </c>
      <c r="C15" s="32"/>
      <c r="D15" s="70"/>
      <c r="E15" s="41" t="s">
        <v>204</v>
      </c>
      <c r="F15" s="37" t="s">
        <v>205</v>
      </c>
      <c r="G15" s="40"/>
      <c r="H15" s="64"/>
      <c r="I15" s="27" t="s">
        <v>57</v>
      </c>
      <c r="J15" s="64"/>
      <c r="K15" s="81"/>
    </row>
    <row r="16" spans="1:11" ht="21.15" customHeight="1">
      <c r="A16" s="35"/>
      <c r="B16" s="36"/>
      <c r="C16" s="32"/>
      <c r="D16" s="70"/>
      <c r="E16" s="41" t="s">
        <v>204</v>
      </c>
      <c r="F16" s="37"/>
      <c r="G16" s="40"/>
      <c r="H16" s="64"/>
      <c r="I16" s="27" t="s">
        <v>57</v>
      </c>
      <c r="J16" s="64"/>
      <c r="K16" s="81"/>
    </row>
    <row r="17" spans="1:11" ht="21.15" customHeight="1">
      <c r="A17" s="35"/>
      <c r="B17" s="36"/>
      <c r="C17" s="32"/>
      <c r="D17" s="70"/>
      <c r="E17" s="41" t="s">
        <v>204</v>
      </c>
      <c r="F17" s="37"/>
      <c r="G17" s="40"/>
      <c r="H17" s="64"/>
      <c r="I17" s="27" t="s">
        <v>57</v>
      </c>
      <c r="J17" s="64"/>
      <c r="K17" s="81"/>
    </row>
    <row r="18" spans="1:11" ht="21.15" customHeight="1">
      <c r="A18" s="75" t="s">
        <v>144</v>
      </c>
      <c r="B18" s="76"/>
      <c r="C18" s="80" t="s">
        <v>7</v>
      </c>
      <c r="D18" s="70"/>
      <c r="E18" s="82"/>
      <c r="F18" s="82"/>
      <c r="G18" s="40"/>
      <c r="H18" s="64"/>
      <c r="I18" s="27" t="s">
        <v>57</v>
      </c>
      <c r="J18" s="64"/>
      <c r="K18" s="81"/>
    </row>
    <row r="19" spans="1:11" ht="21.15" customHeight="1">
      <c r="A19" s="35" t="s">
        <v>110</v>
      </c>
      <c r="B19" s="34" t="s">
        <v>236</v>
      </c>
      <c r="C19" s="32"/>
      <c r="D19" s="70"/>
      <c r="E19" s="78" t="s">
        <v>5</v>
      </c>
      <c r="F19" s="79"/>
      <c r="G19" s="83" t="s">
        <v>7</v>
      </c>
      <c r="H19" s="64"/>
      <c r="I19" s="27" t="s">
        <v>57</v>
      </c>
      <c r="J19" s="64"/>
      <c r="K19" s="81"/>
    </row>
    <row r="20" spans="1:11" ht="21.15" customHeight="1">
      <c r="A20" s="35" t="s">
        <v>111</v>
      </c>
      <c r="B20" s="34" t="s">
        <v>237</v>
      </c>
      <c r="C20" s="32"/>
      <c r="D20" s="70"/>
      <c r="E20" s="38" t="s">
        <v>85</v>
      </c>
      <c r="F20" s="39" t="s">
        <v>206</v>
      </c>
      <c r="G20" s="40"/>
      <c r="H20" s="64"/>
      <c r="I20" s="27" t="s">
        <v>57</v>
      </c>
      <c r="J20" s="64"/>
      <c r="K20" s="81"/>
    </row>
    <row r="21" spans="1:11" ht="21.15" customHeight="1">
      <c r="A21" s="35" t="s">
        <v>112</v>
      </c>
      <c r="B21" s="34" t="s">
        <v>186</v>
      </c>
      <c r="C21" s="32"/>
      <c r="D21" s="70"/>
      <c r="E21" s="38" t="s">
        <v>183</v>
      </c>
      <c r="F21" s="39" t="s">
        <v>209</v>
      </c>
      <c r="G21" s="40"/>
      <c r="H21" s="64"/>
      <c r="I21" s="27" t="s">
        <v>57</v>
      </c>
      <c r="J21" s="64"/>
      <c r="K21" s="81"/>
    </row>
    <row r="22" spans="1:11" ht="21.15" customHeight="1">
      <c r="A22" s="35" t="s">
        <v>113</v>
      </c>
      <c r="B22" s="34" t="s">
        <v>221</v>
      </c>
      <c r="C22" s="32"/>
      <c r="D22" s="70"/>
      <c r="E22" s="38" t="s">
        <v>183</v>
      </c>
      <c r="F22" s="39" t="s">
        <v>210</v>
      </c>
      <c r="G22" s="40"/>
      <c r="H22" s="64"/>
      <c r="I22" s="27" t="s">
        <v>57</v>
      </c>
      <c r="J22" s="64"/>
      <c r="K22" s="81"/>
    </row>
    <row r="23" spans="1:11" ht="21.15" customHeight="1">
      <c r="A23" s="33" t="s">
        <v>150</v>
      </c>
      <c r="B23" s="34" t="s">
        <v>219</v>
      </c>
      <c r="C23" s="32"/>
      <c r="D23" s="70"/>
      <c r="E23" s="38" t="s">
        <v>90</v>
      </c>
      <c r="F23" s="39" t="s">
        <v>211</v>
      </c>
      <c r="G23" s="40"/>
      <c r="H23" s="64"/>
      <c r="I23" s="27" t="s">
        <v>57</v>
      </c>
      <c r="J23" s="64"/>
      <c r="K23" s="81"/>
    </row>
    <row r="24" spans="1:11" ht="21.15" customHeight="1">
      <c r="A24" s="33" t="s">
        <v>159</v>
      </c>
      <c r="B24" s="34" t="s">
        <v>238</v>
      </c>
      <c r="C24" s="32"/>
      <c r="D24" s="70" t="s">
        <v>2</v>
      </c>
      <c r="E24" s="38" t="s">
        <v>92</v>
      </c>
      <c r="F24" s="39"/>
      <c r="G24" s="40"/>
      <c r="H24" s="64"/>
      <c r="I24" s="27" t="s">
        <v>57</v>
      </c>
      <c r="J24" s="64"/>
      <c r="K24" s="81"/>
    </row>
    <row r="25" spans="1:11" ht="21.15" customHeight="1">
      <c r="A25" s="33" t="s">
        <v>248</v>
      </c>
      <c r="B25" s="34" t="s">
        <v>227</v>
      </c>
      <c r="C25" s="32"/>
      <c r="D25" s="70"/>
      <c r="E25" s="38" t="s">
        <v>94</v>
      </c>
      <c r="F25" s="39" t="s">
        <v>216</v>
      </c>
      <c r="G25" s="40"/>
      <c r="H25" s="64"/>
      <c r="I25" s="27" t="s">
        <v>57</v>
      </c>
      <c r="J25" s="64"/>
      <c r="K25" s="81"/>
    </row>
    <row r="26" spans="1:11" ht="21.15" customHeight="1">
      <c r="A26" s="35" t="s">
        <v>116</v>
      </c>
      <c r="B26" s="34" t="s">
        <v>232</v>
      </c>
      <c r="C26" s="32"/>
      <c r="D26" s="70" t="s">
        <v>2</v>
      </c>
      <c r="E26" s="38" t="s">
        <v>98</v>
      </c>
      <c r="F26" s="39"/>
      <c r="G26" s="40"/>
      <c r="H26" s="64"/>
      <c r="I26" s="27" t="s">
        <v>57</v>
      </c>
      <c r="J26" s="64"/>
      <c r="K26" s="81"/>
    </row>
    <row r="27" spans="1:11" ht="21.15" customHeight="1">
      <c r="A27" s="35" t="s">
        <v>118</v>
      </c>
      <c r="B27" s="34" t="s">
        <v>228</v>
      </c>
      <c r="C27" s="32"/>
      <c r="D27" s="70"/>
      <c r="E27" s="38" t="s">
        <v>96</v>
      </c>
      <c r="F27" s="37" t="s">
        <v>222</v>
      </c>
      <c r="G27" s="40" t="s">
        <v>205</v>
      </c>
      <c r="H27" s="64"/>
      <c r="I27" s="27" t="s">
        <v>57</v>
      </c>
      <c r="J27" s="64"/>
      <c r="K27" s="81"/>
    </row>
    <row r="28" spans="1:11" ht="21.15" customHeight="1">
      <c r="A28" s="35" t="s">
        <v>187</v>
      </c>
      <c r="B28" s="34" t="s">
        <v>245</v>
      </c>
      <c r="C28" s="32"/>
      <c r="D28" s="70"/>
      <c r="E28" s="38" t="s">
        <v>100</v>
      </c>
      <c r="F28" s="39" t="s">
        <v>212</v>
      </c>
      <c r="G28" s="40"/>
      <c r="H28" s="64"/>
      <c r="I28" s="27" t="s">
        <v>57</v>
      </c>
      <c r="J28" s="64"/>
      <c r="K28" s="81"/>
    </row>
    <row r="29" spans="1:11" ht="21.15" customHeight="1">
      <c r="A29" s="35" t="s">
        <v>120</v>
      </c>
      <c r="B29" s="34" t="s">
        <v>231</v>
      </c>
      <c r="C29" s="32"/>
      <c r="D29" s="70"/>
      <c r="E29" s="38" t="s">
        <v>102</v>
      </c>
      <c r="F29" s="39" t="s">
        <v>207</v>
      </c>
      <c r="G29" s="40"/>
      <c r="H29" s="64"/>
      <c r="I29" s="27" t="s">
        <v>57</v>
      </c>
      <c r="J29" s="64"/>
      <c r="K29" s="81"/>
    </row>
    <row r="30" spans="1:11" ht="21.15" customHeight="1">
      <c r="A30" s="35" t="s">
        <v>249</v>
      </c>
      <c r="B30" s="36" t="s">
        <v>233</v>
      </c>
      <c r="C30" s="32"/>
      <c r="D30" s="70"/>
      <c r="E30" s="38" t="s">
        <v>104</v>
      </c>
      <c r="F30" s="39" t="s">
        <v>213</v>
      </c>
      <c r="G30" s="40" t="s">
        <v>192</v>
      </c>
      <c r="H30" s="64"/>
      <c r="I30" s="27" t="s">
        <v>57</v>
      </c>
      <c r="J30" s="64"/>
      <c r="K30" s="81"/>
    </row>
    <row r="31" spans="1:11" ht="21.15" customHeight="1">
      <c r="A31" s="35" t="s">
        <v>252</v>
      </c>
      <c r="B31" s="34" t="s">
        <v>214</v>
      </c>
      <c r="C31" s="32"/>
      <c r="D31" s="70" t="s">
        <v>2</v>
      </c>
      <c r="E31" s="38"/>
      <c r="F31" s="39"/>
      <c r="G31" s="40"/>
      <c r="H31" s="64"/>
      <c r="I31" s="27" t="s">
        <v>57</v>
      </c>
      <c r="J31" s="64"/>
      <c r="K31" s="81"/>
    </row>
    <row r="32" spans="1:11" ht="21.15" customHeight="1">
      <c r="A32" s="35" t="s">
        <v>188</v>
      </c>
      <c r="B32" s="34" t="s">
        <v>218</v>
      </c>
      <c r="C32" s="32"/>
      <c r="D32" s="70" t="s">
        <v>2</v>
      </c>
      <c r="E32" s="38"/>
      <c r="F32" s="39"/>
      <c r="G32" s="40"/>
      <c r="H32" s="64"/>
      <c r="I32" s="27" t="s">
        <v>57</v>
      </c>
      <c r="J32" s="64"/>
      <c r="K32" s="81"/>
    </row>
    <row r="33" spans="1:12" ht="21.15" customHeight="1">
      <c r="A33" s="35" t="s">
        <v>250</v>
      </c>
      <c r="B33" s="36" t="s">
        <v>217</v>
      </c>
      <c r="C33" s="32"/>
      <c r="D33" s="70" t="s">
        <v>2</v>
      </c>
      <c r="E33" s="38"/>
      <c r="F33" s="37"/>
      <c r="G33" s="40"/>
      <c r="H33" s="64"/>
      <c r="I33" s="27" t="s">
        <v>57</v>
      </c>
      <c r="J33" s="64"/>
      <c r="K33" s="81"/>
    </row>
    <row r="34" spans="1:12" ht="21.15" customHeight="1">
      <c r="A34" s="35" t="s">
        <v>161</v>
      </c>
      <c r="B34" s="36" t="s">
        <v>224</v>
      </c>
      <c r="C34" s="32"/>
      <c r="D34" s="70" t="s">
        <v>2</v>
      </c>
      <c r="E34" s="38"/>
      <c r="F34" s="37"/>
      <c r="G34" s="40"/>
      <c r="H34" s="64"/>
      <c r="I34" s="27" t="s">
        <v>57</v>
      </c>
      <c r="J34" s="64"/>
      <c r="K34" s="64"/>
    </row>
    <row r="35" spans="1:12" ht="21.15" customHeight="1">
      <c r="A35" s="35" t="s">
        <v>126</v>
      </c>
      <c r="B35" s="36" t="s">
        <v>208</v>
      </c>
      <c r="C35" s="32"/>
      <c r="D35" s="70"/>
      <c r="E35" s="38"/>
      <c r="F35" s="37"/>
      <c r="G35" s="40"/>
      <c r="H35" s="64"/>
      <c r="I35" s="27" t="s">
        <v>57</v>
      </c>
      <c r="J35" s="64"/>
      <c r="K35" s="64"/>
    </row>
    <row r="36" spans="1:12" ht="21.15" customHeight="1">
      <c r="A36" s="35" t="s">
        <v>251</v>
      </c>
      <c r="B36" s="36" t="s">
        <v>223</v>
      </c>
      <c r="C36" s="32"/>
      <c r="D36" s="70"/>
      <c r="E36" s="98" t="s">
        <v>6</v>
      </c>
      <c r="F36" s="99"/>
      <c r="G36" s="100"/>
      <c r="H36" s="64"/>
      <c r="I36" s="27" t="s">
        <v>57</v>
      </c>
      <c r="J36" s="64"/>
      <c r="K36" s="64"/>
    </row>
    <row r="37" spans="1:12" ht="21.15" customHeight="1">
      <c r="A37" s="35" t="s">
        <v>128</v>
      </c>
      <c r="B37" s="36" t="s">
        <v>229</v>
      </c>
      <c r="C37" s="32"/>
      <c r="D37" s="70"/>
      <c r="E37" s="37" t="s">
        <v>234</v>
      </c>
      <c r="F37" s="37"/>
      <c r="G37" s="37" t="s">
        <v>144</v>
      </c>
      <c r="H37" s="64"/>
      <c r="I37" s="27" t="s">
        <v>57</v>
      </c>
      <c r="J37" s="64"/>
      <c r="K37" s="64"/>
    </row>
    <row r="38" spans="1:12" ht="21.15" customHeight="1">
      <c r="A38" s="35" t="s">
        <v>129</v>
      </c>
      <c r="B38" s="36"/>
      <c r="C38" s="32"/>
      <c r="D38" s="70"/>
      <c r="E38" s="37"/>
      <c r="F38" s="37"/>
      <c r="G38" s="37"/>
      <c r="H38" s="64"/>
      <c r="I38" s="27" t="s">
        <v>57</v>
      </c>
      <c r="J38" s="64"/>
      <c r="K38" s="64"/>
    </row>
    <row r="39" spans="1:12" ht="21.15" customHeight="1">
      <c r="A39" s="35" t="s">
        <v>130</v>
      </c>
      <c r="B39" s="36" t="s">
        <v>189</v>
      </c>
      <c r="C39" s="32"/>
      <c r="D39" s="70"/>
      <c r="E39" s="37"/>
      <c r="F39" s="37"/>
      <c r="G39" s="37"/>
      <c r="H39" s="64"/>
      <c r="I39" s="27" t="s">
        <v>57</v>
      </c>
      <c r="J39" s="64"/>
      <c r="K39" s="64"/>
    </row>
    <row r="40" spans="1:12" ht="21.15" customHeight="1">
      <c r="A40" s="35" t="s">
        <v>190</v>
      </c>
      <c r="B40" s="34"/>
      <c r="C40" s="32"/>
      <c r="D40" s="70"/>
      <c r="E40" s="37"/>
      <c r="F40" s="37"/>
      <c r="G40" s="37"/>
      <c r="H40" s="64"/>
      <c r="I40" s="27" t="s">
        <v>57</v>
      </c>
      <c r="J40" s="64"/>
      <c r="K40" s="64"/>
    </row>
    <row r="41" spans="1:12" ht="21.15" customHeight="1">
      <c r="A41" s="35" t="s">
        <v>136</v>
      </c>
      <c r="B41" s="36" t="s">
        <v>215</v>
      </c>
      <c r="C41" s="32"/>
      <c r="D41" s="70"/>
      <c r="E41" s="37"/>
      <c r="F41" s="37"/>
      <c r="G41" s="37"/>
      <c r="H41" s="64"/>
      <c r="I41" s="27" t="s">
        <v>57</v>
      </c>
      <c r="J41" s="64"/>
      <c r="K41" s="64"/>
    </row>
    <row r="42" spans="1:12" ht="21.15" customHeight="1">
      <c r="A42" s="35" t="s">
        <v>184</v>
      </c>
      <c r="B42" s="36"/>
      <c r="C42" s="32"/>
      <c r="D42" s="70"/>
      <c r="E42" s="37"/>
      <c r="F42" s="37"/>
      <c r="G42" s="37"/>
      <c r="H42" s="64"/>
      <c r="I42" s="27" t="s">
        <v>57</v>
      </c>
      <c r="J42" s="64"/>
      <c r="K42" s="64"/>
    </row>
    <row r="43" spans="1:12" ht="21.15" customHeight="1">
      <c r="A43" s="35" t="s">
        <v>182</v>
      </c>
      <c r="B43" s="36" t="s">
        <v>192</v>
      </c>
      <c r="C43" s="32"/>
      <c r="D43" s="70"/>
      <c r="E43" s="37"/>
      <c r="F43" s="37"/>
      <c r="G43" s="37"/>
      <c r="H43" s="64"/>
      <c r="I43" s="27" t="s">
        <v>57</v>
      </c>
      <c r="J43" s="64"/>
      <c r="K43" s="64"/>
    </row>
    <row r="44" spans="1:12" ht="21.15" customHeight="1">
      <c r="A44" s="35" t="s">
        <v>193</v>
      </c>
      <c r="B44" s="36" t="s">
        <v>235</v>
      </c>
      <c r="C44" s="32"/>
      <c r="D44" s="70"/>
      <c r="E44" s="37"/>
      <c r="F44" s="37"/>
      <c r="G44" s="37"/>
      <c r="H44" s="64"/>
      <c r="I44" s="27" t="s">
        <v>57</v>
      </c>
      <c r="J44" s="64"/>
      <c r="K44" s="64"/>
    </row>
    <row r="45" spans="1:12" ht="21.15" customHeight="1">
      <c r="A45" s="35" t="s">
        <v>135</v>
      </c>
      <c r="B45" s="36"/>
      <c r="C45" s="32"/>
      <c r="D45" s="70"/>
      <c r="E45" s="37"/>
      <c r="F45" s="37"/>
      <c r="G45" s="37"/>
      <c r="H45" s="64"/>
      <c r="I45" s="27" t="s">
        <v>57</v>
      </c>
      <c r="J45" s="64"/>
      <c r="K45" s="64"/>
    </row>
    <row r="46" spans="1:12" ht="21.15" customHeight="1">
      <c r="A46" s="35" t="s">
        <v>134</v>
      </c>
      <c r="B46" s="36" t="s">
        <v>194</v>
      </c>
      <c r="C46" s="32"/>
      <c r="D46" s="70"/>
      <c r="E46" s="37"/>
      <c r="F46" s="37"/>
      <c r="G46" s="37"/>
      <c r="H46" s="64"/>
      <c r="I46" s="27" t="s">
        <v>57</v>
      </c>
      <c r="J46" s="64"/>
      <c r="K46" s="64"/>
      <c r="L46" s="6"/>
    </row>
    <row r="47" spans="1:12" ht="21.15" customHeight="1">
      <c r="A47" s="35" t="s">
        <v>195</v>
      </c>
      <c r="B47" s="36"/>
      <c r="C47" s="32"/>
      <c r="D47" s="11"/>
      <c r="E47" s="11"/>
      <c r="F47" s="12"/>
      <c r="G47" s="13"/>
      <c r="I47" s="27" t="s">
        <v>57</v>
      </c>
      <c r="K47" s="9"/>
      <c r="L47" s="24"/>
    </row>
    <row r="48" spans="1:12" ht="21.15" customHeight="1">
      <c r="A48" s="35" t="s">
        <v>247</v>
      </c>
      <c r="B48" s="36" t="s">
        <v>191</v>
      </c>
      <c r="C48" s="32"/>
      <c r="D48" s="11"/>
      <c r="E48" s="14"/>
      <c r="F48" s="15" t="s">
        <v>2</v>
      </c>
      <c r="G48" s="16"/>
      <c r="I48" s="27" t="s">
        <v>57</v>
      </c>
      <c r="K48" s="10"/>
      <c r="L48" s="24"/>
    </row>
    <row r="49" spans="1:14" ht="21.15" customHeight="1">
      <c r="A49" s="35"/>
      <c r="B49" s="36"/>
      <c r="C49" s="32"/>
      <c r="D49" s="11"/>
      <c r="E49" s="14" t="s">
        <v>2</v>
      </c>
      <c r="F49" s="17"/>
      <c r="G49" s="18" t="s">
        <v>2</v>
      </c>
      <c r="I49" s="27" t="s">
        <v>57</v>
      </c>
      <c r="L49" s="24"/>
    </row>
    <row r="50" spans="1:14" ht="21.15" customHeight="1">
      <c r="A50" s="87"/>
      <c r="B50" s="88"/>
      <c r="C50" s="89"/>
      <c r="I50" s="27" t="s">
        <v>57</v>
      </c>
      <c r="N50" s="22"/>
    </row>
    <row r="51" spans="1:14" ht="21.15" customHeight="1">
      <c r="I51" s="26" t="s">
        <v>57</v>
      </c>
      <c r="N51" s="22"/>
    </row>
    <row r="52" spans="1:14" ht="21.15" customHeight="1">
      <c r="I52" s="26" t="s">
        <v>57</v>
      </c>
      <c r="N52" s="22"/>
    </row>
    <row r="53" spans="1:14" ht="21.15" customHeight="1">
      <c r="I53" s="26" t="s">
        <v>57</v>
      </c>
      <c r="N53" s="22"/>
    </row>
    <row r="54" spans="1:14" ht="21.15" customHeight="1">
      <c r="I54" s="26" t="s">
        <v>57</v>
      </c>
      <c r="N54" s="22"/>
    </row>
    <row r="55" spans="1:14" ht="21.15" customHeight="1">
      <c r="I55" s="26" t="s">
        <v>57</v>
      </c>
      <c r="N55" s="22"/>
    </row>
    <row r="56" spans="1:14" ht="21.15" customHeight="1">
      <c r="I56" s="26" t="s">
        <v>57</v>
      </c>
      <c r="N56" s="22"/>
    </row>
    <row r="57" spans="1:14" ht="21.15" customHeight="1">
      <c r="I57" s="26" t="s">
        <v>57</v>
      </c>
      <c r="N57" s="22"/>
    </row>
    <row r="58" spans="1:14" ht="21.15" customHeight="1">
      <c r="F58" s="23"/>
      <c r="I58" s="26" t="s">
        <v>57</v>
      </c>
      <c r="N58" s="22"/>
    </row>
    <row r="59" spans="1:14" ht="21.15" customHeight="1">
      <c r="I59" s="26" t="s">
        <v>57</v>
      </c>
      <c r="N59" s="22"/>
    </row>
    <row r="60" spans="1:14" ht="21.15" customHeight="1">
      <c r="I60" s="26" t="s">
        <v>57</v>
      </c>
      <c r="N60" s="22"/>
    </row>
    <row r="61" spans="1:14" ht="21.15" customHeight="1">
      <c r="I61" s="26" t="s">
        <v>57</v>
      </c>
      <c r="N61" s="22"/>
    </row>
    <row r="62" spans="1:14">
      <c r="I62" s="4" t="s">
        <v>57</v>
      </c>
      <c r="N62" s="22"/>
    </row>
    <row r="63" spans="1:14">
      <c r="I63" s="4" t="s">
        <v>57</v>
      </c>
      <c r="N63" s="22"/>
    </row>
    <row r="64" spans="1:14">
      <c r="I64" s="4" t="s">
        <v>57</v>
      </c>
      <c r="N64" s="22"/>
    </row>
    <row r="65" spans="9:14">
      <c r="I65" s="4" t="s">
        <v>57</v>
      </c>
      <c r="N65" s="22"/>
    </row>
    <row r="66" spans="9:14">
      <c r="I66" s="4" t="s">
        <v>57</v>
      </c>
      <c r="N66" s="22"/>
    </row>
    <row r="67" spans="9:14">
      <c r="I67" s="4" t="s">
        <v>57</v>
      </c>
      <c r="N67" s="22"/>
    </row>
    <row r="68" spans="9:14">
      <c r="I68" s="4" t="s">
        <v>57</v>
      </c>
      <c r="N68" s="22"/>
    </row>
    <row r="69" spans="9:14">
      <c r="I69" s="4" t="s">
        <v>57</v>
      </c>
      <c r="N69" s="22"/>
    </row>
    <row r="70" spans="9:14">
      <c r="I70" s="4" t="s">
        <v>57</v>
      </c>
      <c r="N70" s="22"/>
    </row>
    <row r="71" spans="9:14">
      <c r="I71" s="4" t="s">
        <v>57</v>
      </c>
      <c r="N71" s="22"/>
    </row>
    <row r="72" spans="9:14">
      <c r="I72" s="4" t="s">
        <v>57</v>
      </c>
      <c r="N72" s="22"/>
    </row>
    <row r="73" spans="9:14">
      <c r="I73" s="4" t="s">
        <v>57</v>
      </c>
      <c r="N73" s="22"/>
    </row>
    <row r="74" spans="9:14">
      <c r="I74" s="4" t="s">
        <v>57</v>
      </c>
      <c r="N74" s="22"/>
    </row>
    <row r="75" spans="9:14">
      <c r="I75" s="4" t="s">
        <v>57</v>
      </c>
      <c r="N75" s="22"/>
    </row>
    <row r="76" spans="9:14">
      <c r="I76" s="4" t="s">
        <v>57</v>
      </c>
      <c r="N76" s="22"/>
    </row>
    <row r="77" spans="9:14">
      <c r="I77" s="4" t="s">
        <v>57</v>
      </c>
      <c r="N77" s="22"/>
    </row>
    <row r="78" spans="9:14">
      <c r="I78" s="4" t="s">
        <v>57</v>
      </c>
      <c r="N78" s="22"/>
    </row>
    <row r="79" spans="9:14">
      <c r="I79" s="4" t="s">
        <v>57</v>
      </c>
      <c r="N79" s="22"/>
    </row>
    <row r="80" spans="9:14">
      <c r="I80" s="4" t="s">
        <v>57</v>
      </c>
      <c r="N80" s="22"/>
    </row>
    <row r="81" spans="9:14">
      <c r="I81" s="4" t="s">
        <v>57</v>
      </c>
      <c r="N81" s="22"/>
    </row>
    <row r="82" spans="9:14">
      <c r="I82" s="4" t="s">
        <v>57</v>
      </c>
      <c r="N82" s="22"/>
    </row>
    <row r="83" spans="9:14">
      <c r="I83" s="4" t="s">
        <v>57</v>
      </c>
      <c r="N83" s="22"/>
    </row>
    <row r="84" spans="9:14">
      <c r="I84" s="4" t="s">
        <v>57</v>
      </c>
      <c r="N84" s="22"/>
    </row>
    <row r="85" spans="9:14">
      <c r="I85" s="4" t="s">
        <v>57</v>
      </c>
      <c r="N85" s="22"/>
    </row>
    <row r="86" spans="9:14">
      <c r="I86" s="4" t="s">
        <v>57</v>
      </c>
      <c r="N86" s="22"/>
    </row>
    <row r="87" spans="9:14">
      <c r="I87" s="4" t="s">
        <v>57</v>
      </c>
      <c r="N87" s="22"/>
    </row>
    <row r="88" spans="9:14">
      <c r="I88" s="4" t="s">
        <v>57</v>
      </c>
      <c r="N88" s="22"/>
    </row>
    <row r="89" spans="9:14">
      <c r="I89" s="4" t="s">
        <v>57</v>
      </c>
      <c r="N89" s="22"/>
    </row>
    <row r="90" spans="9:14">
      <c r="I90" s="4" t="s">
        <v>57</v>
      </c>
      <c r="N90" s="22"/>
    </row>
    <row r="91" spans="9:14">
      <c r="I91" s="4" t="s">
        <v>57</v>
      </c>
      <c r="N91" s="22"/>
    </row>
    <row r="92" spans="9:14">
      <c r="I92" s="4" t="s">
        <v>57</v>
      </c>
      <c r="N92" s="22"/>
    </row>
    <row r="93" spans="9:14">
      <c r="I93" s="4" t="s">
        <v>57</v>
      </c>
      <c r="N93" s="22"/>
    </row>
    <row r="94" spans="9:14">
      <c r="I94" s="4" t="s">
        <v>57</v>
      </c>
      <c r="N94" s="22"/>
    </row>
    <row r="95" spans="9:14">
      <c r="I95" s="4" t="s">
        <v>57</v>
      </c>
      <c r="N95" s="22"/>
    </row>
    <row r="96" spans="9:14">
      <c r="I96" s="4" t="s">
        <v>57</v>
      </c>
      <c r="N96" s="22"/>
    </row>
    <row r="97" spans="9:17">
      <c r="I97" s="4" t="s">
        <v>57</v>
      </c>
      <c r="N97" s="22"/>
    </row>
    <row r="98" spans="9:17">
      <c r="I98" s="4" t="s">
        <v>57</v>
      </c>
      <c r="N98" s="22"/>
    </row>
    <row r="99" spans="9:17">
      <c r="I99" s="4" t="s">
        <v>57</v>
      </c>
      <c r="N99" s="22"/>
    </row>
    <row r="100" spans="9:17">
      <c r="I100" s="4" t="s">
        <v>57</v>
      </c>
      <c r="N100" s="22"/>
    </row>
    <row r="101" spans="9:17">
      <c r="I101" s="4" t="s">
        <v>57</v>
      </c>
      <c r="N101" s="22"/>
    </row>
    <row r="102" spans="9:17">
      <c r="I102" s="4" t="s">
        <v>57</v>
      </c>
      <c r="N102" s="22"/>
    </row>
    <row r="103" spans="9:17">
      <c r="N103" s="22"/>
    </row>
    <row r="104" spans="9:17">
      <c r="N104" s="22"/>
    </row>
    <row r="105" spans="9:17">
      <c r="N105" s="22"/>
    </row>
    <row r="106" spans="9:17">
      <c r="N106" s="22"/>
    </row>
    <row r="107" spans="9:17">
      <c r="N107" s="22"/>
      <c r="P107" s="25" t="e">
        <f>SUM(#REF!)</f>
        <v>#REF!</v>
      </c>
      <c r="Q107" s="2"/>
    </row>
    <row r="111" spans="9:17">
      <c r="N111" s="5"/>
    </row>
  </sheetData>
  <sheetProtection formatCells="0" formatColumns="0" formatRows="0"/>
  <mergeCells count="2">
    <mergeCell ref="F3:G3"/>
    <mergeCell ref="E36:G36"/>
  </mergeCells>
  <phoneticPr fontId="2" type="noConversion"/>
  <conditionalFormatting sqref="G7:G18 B19:C50">
    <cfRule type="expression" dxfId="36" priority="4477" stopIfTrue="1">
      <formula>B7&lt;&gt;""</formula>
    </cfRule>
    <cfRule type="expression" dxfId="35" priority="4478" stopIfTrue="1">
      <formula>#REF!="--"</formula>
    </cfRule>
  </conditionalFormatting>
  <conditionalFormatting sqref="B6:B17">
    <cfRule type="expression" dxfId="34" priority="2775" stopIfTrue="1">
      <formula>B6&lt;&gt;""</formula>
    </cfRule>
    <cfRule type="expression" dxfId="33" priority="2776" stopIfTrue="1">
      <formula>#REF!="--"</formula>
    </cfRule>
  </conditionalFormatting>
  <conditionalFormatting sqref="P107">
    <cfRule type="cellIs" dxfId="32" priority="67" stopIfTrue="1" operator="equal">
      <formula>1</formula>
    </cfRule>
  </conditionalFormatting>
  <conditionalFormatting sqref="F7:F17">
    <cfRule type="expression" dxfId="31" priority="52" stopIfTrue="1">
      <formula>F7&lt;&gt;""</formula>
    </cfRule>
    <cfRule type="expression" dxfId="30" priority="53" stopIfTrue="1">
      <formula>#REF!="--"</formula>
    </cfRule>
  </conditionalFormatting>
  <conditionalFormatting sqref="F20:F34">
    <cfRule type="expression" dxfId="29" priority="50" stopIfTrue="1">
      <formula>F20&lt;&gt;""</formula>
    </cfRule>
    <cfRule type="expression" dxfId="28" priority="51" stopIfTrue="1">
      <formula>#REF!="--"</formula>
    </cfRule>
  </conditionalFormatting>
  <conditionalFormatting sqref="F35">
    <cfRule type="expression" dxfId="27" priority="48" stopIfTrue="1">
      <formula>F35&lt;&gt;""</formula>
    </cfRule>
    <cfRule type="expression" dxfId="26" priority="49" stopIfTrue="1">
      <formula>#REF!="--"</formula>
    </cfRule>
  </conditionalFormatting>
  <conditionalFormatting sqref="F37:F46">
    <cfRule type="expression" dxfId="25" priority="46" stopIfTrue="1">
      <formula>F37&lt;&gt;""</formula>
    </cfRule>
    <cfRule type="expression" dxfId="24" priority="47" stopIfTrue="1">
      <formula>#REF!="--"</formula>
    </cfRule>
  </conditionalFormatting>
  <conditionalFormatting sqref="E37:E46">
    <cfRule type="expression" dxfId="23" priority="44" stopIfTrue="1">
      <formula>E37&lt;&gt;""</formula>
    </cfRule>
    <cfRule type="expression" dxfId="22" priority="45" stopIfTrue="1">
      <formula>#REF!="--"</formula>
    </cfRule>
  </conditionalFormatting>
  <conditionalFormatting sqref="G37:G46">
    <cfRule type="expression" dxfId="21" priority="42" stopIfTrue="1">
      <formula>G37&lt;&gt;""</formula>
    </cfRule>
    <cfRule type="expression" dxfId="20" priority="43" stopIfTrue="1">
      <formula>#REF!="--"</formula>
    </cfRule>
  </conditionalFormatting>
  <conditionalFormatting sqref="F19">
    <cfRule type="expression" dxfId="19" priority="34" stopIfTrue="1">
      <formula>F19&lt;&gt;""</formula>
    </cfRule>
    <cfRule type="expression" dxfId="18" priority="35" stopIfTrue="1">
      <formula>#REF!="--"</formula>
    </cfRule>
  </conditionalFormatting>
  <conditionalFormatting sqref="F6">
    <cfRule type="expression" dxfId="17" priority="36" stopIfTrue="1">
      <formula>F6&lt;&gt;""</formula>
    </cfRule>
    <cfRule type="expression" dxfId="16" priority="37" stopIfTrue="1">
      <formula>#REF!="--"</formula>
    </cfRule>
  </conditionalFormatting>
  <conditionalFormatting sqref="G20:G35">
    <cfRule type="expression" dxfId="15" priority="24" stopIfTrue="1">
      <formula>G20&lt;&gt;""</formula>
    </cfRule>
    <cfRule type="expression" dxfId="14" priority="25" stopIfTrue="1">
      <formula>#REF!="--"</formula>
    </cfRule>
  </conditionalFormatting>
  <conditionalFormatting sqref="C7:C17">
    <cfRule type="expression" dxfId="13" priority="22" stopIfTrue="1">
      <formula>C7&lt;&gt;""</formula>
    </cfRule>
    <cfRule type="expression" dxfId="12" priority="23" stopIfTrue="1">
      <formula>#REF!="--"</formula>
    </cfRule>
  </conditionalFormatting>
  <conditionalFormatting sqref="I7:I96">
    <cfRule type="expression" dxfId="11" priority="12">
      <formula>"len($I6)&gt;5"</formula>
    </cfRule>
  </conditionalFormatting>
  <conditionalFormatting sqref="I6:I96">
    <cfRule type="endsWith" dxfId="10" priority="6" operator="endsWith" text="_">
      <formula>RIGHT(I6,LEN("_"))="_"</formula>
    </cfRule>
    <cfRule type="endsWith" dxfId="9" priority="7" operator="endsWith" text=";">
      <formula>RIGHT(I6,LEN(";"))=";"</formula>
    </cfRule>
    <cfRule type="endsWith" dxfId="8" priority="9" operator="endsWith" text=",">
      <formula>RIGHT(I6,LEN(","))=","</formula>
    </cfRule>
    <cfRule type="expression" dxfId="7" priority="10">
      <formula>LEN($I6)&lt;6</formula>
    </cfRule>
    <cfRule type="expression" dxfId="6" priority="11">
      <formula>LEN($I6)&gt;5</formula>
    </cfRule>
  </conditionalFormatting>
  <conditionalFormatting sqref="K6:K92">
    <cfRule type="expression" dxfId="5" priority="8">
      <formula>LEN($K6)&gt;5</formula>
    </cfRule>
  </conditionalFormatting>
  <conditionalFormatting sqref="A7:G49">
    <cfRule type="cellIs" dxfId="4" priority="5" operator="equal">
      <formula>"Blank"</formula>
    </cfRule>
  </conditionalFormatting>
  <conditionalFormatting sqref="C7:C17">
    <cfRule type="expression" dxfId="3" priority="3" stopIfTrue="1">
      <formula>C7&lt;&gt;""</formula>
    </cfRule>
    <cfRule type="expression" dxfId="2" priority="4" stopIfTrue="1">
      <formula>#REF!="--"</formula>
    </cfRule>
  </conditionalFormatting>
  <conditionalFormatting sqref="G20:G35">
    <cfRule type="expression" dxfId="1" priority="1" stopIfTrue="1">
      <formula>G20&lt;&gt;""</formula>
    </cfRule>
    <cfRule type="expression" dxfId="0" priority="2" stopIfTrue="1">
      <formula>#REF!="--"</formula>
    </cfRule>
  </conditionalFormatting>
  <dataValidations count="2">
    <dataValidation type="list" allowBlank="1" showInputMessage="1" sqref="C50">
      <formula1>#REF!</formula1>
    </dataValidation>
    <dataValidation allowBlank="1" showInputMessage="1" sqref="E7:E18"/>
  </dataValidations>
  <printOptions gridLines="1"/>
  <pageMargins left="0" right="0" top="0" bottom="0" header="0.5" footer="0.5"/>
  <pageSetup scale="70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Shift_Names!$F$2:$F$98</xm:f>
          </x14:formula1>
          <xm:sqref>B50</xm:sqref>
        </x14:dataValidation>
        <x14:dataValidation type="list" allowBlank="1" showInputMessage="1" showErrorMessage="1">
          <x14:formula1>
            <xm:f>Shift_Names!$A$5:$A$13</xm:f>
          </x14:formula1>
          <xm:sqref>K3</xm:sqref>
        </x14:dataValidation>
        <x14:dataValidation type="list" allowBlank="1" showInputMessage="1" showErrorMessage="1">
          <x14:formula1>
            <xm:f>Shift_Names!$A$16:$A$24</xm:f>
          </x14:formula1>
          <xm:sqref>I3</xm:sqref>
        </x14:dataValidation>
        <x14:dataValidation type="list" allowBlank="1" showInputMessage="1">
          <x14:formula1>
            <xm:f>Shift_Names!$F$2:$F$98</xm:f>
          </x14:formula1>
          <xm:sqref>B7:B17 F7:F18 B19:B49 F20:F35 E37:G46</xm:sqref>
        </x14:dataValidation>
        <x14:dataValidation type="list" allowBlank="1">
          <x14:formula1>
            <xm:f>Shift_Names!$L$2:$L$98</xm:f>
          </x14:formula1>
          <xm:sqref>G7:G18 C7:C17 C19:C49 G20:G35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74"/>
  <sheetViews>
    <sheetView topLeftCell="A16" workbookViewId="0">
      <selection activeCell="F43" sqref="F43"/>
    </sheetView>
  </sheetViews>
  <sheetFormatPr defaultColWidth="9.109375" defaultRowHeight="10.199999999999999"/>
  <cols>
    <col min="1" max="2" width="2.6640625" style="53" customWidth="1"/>
    <col min="3" max="3" width="20.5546875" style="53" customWidth="1"/>
    <col min="4" max="5" width="2.6640625" style="53" customWidth="1"/>
    <col min="6" max="6" width="20.5546875" style="53" customWidth="1"/>
    <col min="7" max="8" width="2.6640625" style="53" customWidth="1"/>
    <col min="9" max="9" width="20.5546875" style="53" customWidth="1"/>
    <col min="10" max="11" width="2.6640625" style="53" customWidth="1"/>
    <col min="12" max="12" width="22.109375" style="53" customWidth="1"/>
    <col min="13" max="14" width="2.6640625" style="53" customWidth="1"/>
    <col min="15" max="15" width="20.5546875" style="53" customWidth="1"/>
    <col min="16" max="17" width="2.6640625" style="53" customWidth="1"/>
    <col min="18" max="18" width="20.5546875" style="53" customWidth="1"/>
    <col min="19" max="20" width="2.6640625" style="53" customWidth="1"/>
    <col min="21" max="21" width="20.5546875" style="53" customWidth="1"/>
    <col min="22" max="23" width="2.6640625" style="53" customWidth="1"/>
    <col min="24" max="24" width="20.5546875" style="53" customWidth="1"/>
    <col min="25" max="26" width="2.6640625" style="53" customWidth="1"/>
    <col min="27" max="27" width="25.44140625" style="53" customWidth="1"/>
    <col min="28" max="29" width="2.6640625" style="53" customWidth="1"/>
    <col min="30" max="30" width="19.44140625" style="53" customWidth="1"/>
    <col min="31" max="31" width="4.5546875" style="53" customWidth="1"/>
    <col min="32" max="42" width="9.109375" style="53"/>
    <col min="43" max="43" width="14.6640625" style="53" customWidth="1"/>
    <col min="44" max="16384" width="9.109375" style="53"/>
  </cols>
  <sheetData>
    <row r="1" spans="1:41">
      <c r="A1" s="53">
        <v>1</v>
      </c>
      <c r="B1" s="53">
        <v>0</v>
      </c>
      <c r="C1" s="54" t="s">
        <v>68</v>
      </c>
      <c r="D1" s="53">
        <v>1</v>
      </c>
      <c r="E1" s="53">
        <v>0</v>
      </c>
      <c r="F1" s="54" t="s">
        <v>69</v>
      </c>
      <c r="G1" s="53">
        <v>1</v>
      </c>
      <c r="H1" s="53">
        <v>0</v>
      </c>
      <c r="I1" s="54" t="s">
        <v>70</v>
      </c>
      <c r="J1" s="53">
        <v>1</v>
      </c>
      <c r="K1" s="53">
        <v>0</v>
      </c>
      <c r="L1" s="54" t="s">
        <v>71</v>
      </c>
      <c r="M1" s="53">
        <v>1</v>
      </c>
      <c r="N1" s="53">
        <v>0</v>
      </c>
      <c r="O1" s="54" t="s">
        <v>10</v>
      </c>
      <c r="P1" s="53">
        <v>1</v>
      </c>
      <c r="Q1" s="53">
        <v>0</v>
      </c>
      <c r="R1" s="54" t="s">
        <v>72</v>
      </c>
      <c r="S1" s="53">
        <v>1</v>
      </c>
      <c r="T1" s="53">
        <v>0</v>
      </c>
      <c r="U1" s="54" t="s">
        <v>73</v>
      </c>
      <c r="V1" s="53">
        <v>1</v>
      </c>
      <c r="W1" s="53">
        <v>0</v>
      </c>
      <c r="X1" s="54" t="s">
        <v>74</v>
      </c>
      <c r="Y1" s="53">
        <v>1</v>
      </c>
      <c r="Z1" s="53">
        <v>0</v>
      </c>
      <c r="AA1" s="54" t="s">
        <v>75</v>
      </c>
      <c r="AB1" s="53">
        <f t="shared" ref="AB1:AB64" si="0">INDEX($A1:$AA1,0,$AE$1-1)</f>
        <v>1</v>
      </c>
      <c r="AC1" s="53">
        <f>INDEX($A1:$AA1,0,$AE$1)</f>
        <v>0</v>
      </c>
      <c r="AD1" s="53" t="str">
        <f>INDEX($A1:$AA1,0,$AE$1+1)</f>
        <v>Plant 1 Day Shift</v>
      </c>
      <c r="AE1" s="53">
        <f>SUM(AG1:AG9)</f>
        <v>2</v>
      </c>
      <c r="AF1" s="53" t="str">
        <f>'JOB ASSIGNER'!I3</f>
        <v>Plant 1 Days</v>
      </c>
      <c r="AG1" s="53">
        <f>IF($AF$1=Shift_Names!A16,Shift_Names!B16,0)</f>
        <v>2</v>
      </c>
      <c r="AI1" s="53" t="s">
        <v>168</v>
      </c>
      <c r="AJ1" s="53" t="s">
        <v>60</v>
      </c>
      <c r="AK1" s="53" t="str">
        <f>$AF$1</f>
        <v>Plant 1 Days</v>
      </c>
      <c r="AL1" s="53">
        <v>1</v>
      </c>
      <c r="AM1" s="53">
        <f>IF(AJ1=AK1,AL1,0)</f>
        <v>1</v>
      </c>
      <c r="AN1" s="53">
        <f>SUM(AM1:AM9)</f>
        <v>1</v>
      </c>
      <c r="AO1" s="54" t="str">
        <f>INDEX(AI1:AI9,AN1,0)</f>
        <v>p1day</v>
      </c>
    </row>
    <row r="2" spans="1:41">
      <c r="A2" s="53">
        <v>4</v>
      </c>
      <c r="B2" s="53">
        <v>4</v>
      </c>
      <c r="C2" s="53" t="s">
        <v>139</v>
      </c>
      <c r="D2" s="53">
        <v>4</v>
      </c>
      <c r="E2" s="53">
        <v>4</v>
      </c>
      <c r="F2" s="53" t="s">
        <v>139</v>
      </c>
      <c r="G2" s="53">
        <v>4</v>
      </c>
      <c r="H2" s="53">
        <v>4</v>
      </c>
      <c r="I2" s="53" t="s">
        <v>139</v>
      </c>
      <c r="J2" s="53">
        <v>4</v>
      </c>
      <c r="K2" s="53">
        <v>4</v>
      </c>
      <c r="L2" s="53" t="s">
        <v>12</v>
      </c>
      <c r="M2" s="53">
        <v>4</v>
      </c>
      <c r="N2" s="53">
        <v>4</v>
      </c>
      <c r="O2" s="53" t="s">
        <v>12</v>
      </c>
      <c r="P2" s="53">
        <v>4</v>
      </c>
      <c r="Q2" s="53">
        <v>4</v>
      </c>
      <c r="R2" s="53" t="s">
        <v>12</v>
      </c>
      <c r="S2" s="53">
        <v>0</v>
      </c>
      <c r="T2" s="53">
        <v>4</v>
      </c>
      <c r="U2" s="53" t="s">
        <v>76</v>
      </c>
      <c r="V2" s="53">
        <v>0</v>
      </c>
      <c r="W2" s="53">
        <v>4</v>
      </c>
      <c r="X2" s="53" t="s">
        <v>76</v>
      </c>
      <c r="Y2" s="53">
        <v>0</v>
      </c>
      <c r="Z2" s="53">
        <v>4</v>
      </c>
      <c r="AA2" s="53" t="s">
        <v>76</v>
      </c>
      <c r="AB2" s="53">
        <f t="shared" si="0"/>
        <v>4</v>
      </c>
      <c r="AC2" s="53">
        <f t="shared" ref="AC2:AC65" si="1">INDEX($A2:$AA2,0,$AE$1)</f>
        <v>4</v>
      </c>
      <c r="AD2" s="55" t="str">
        <f>INDEX($A2:$AA2,0,$AE$1+1)</f>
        <v>Press 240</v>
      </c>
      <c r="AG2" s="53">
        <f>IF($AF$1=Shift_Names!A17,Shift_Names!B17,0)</f>
        <v>0</v>
      </c>
      <c r="AI2" s="53" t="s">
        <v>169</v>
      </c>
      <c r="AJ2" s="53" t="s">
        <v>61</v>
      </c>
      <c r="AK2" s="53" t="str">
        <f t="shared" ref="AK2:AK9" si="2">$AF$1</f>
        <v>Plant 1 Days</v>
      </c>
      <c r="AL2" s="53">
        <f>AL1+1</f>
        <v>2</v>
      </c>
      <c r="AM2" s="53">
        <f t="shared" ref="AM2:AM9" si="3">IF(AJ2=AK2,AL2,0)</f>
        <v>0</v>
      </c>
    </row>
    <row r="3" spans="1:41">
      <c r="A3" s="53">
        <v>4</v>
      </c>
      <c r="B3" s="53">
        <v>5</v>
      </c>
      <c r="C3" s="53" t="s">
        <v>140</v>
      </c>
      <c r="D3" s="53">
        <v>4</v>
      </c>
      <c r="E3" s="53">
        <v>5</v>
      </c>
      <c r="F3" s="53" t="s">
        <v>140</v>
      </c>
      <c r="G3" s="53">
        <v>4</v>
      </c>
      <c r="H3" s="53">
        <v>5</v>
      </c>
      <c r="I3" s="53" t="s">
        <v>140</v>
      </c>
      <c r="J3" s="53">
        <v>4</v>
      </c>
      <c r="K3" s="53">
        <v>5</v>
      </c>
      <c r="L3" s="53" t="s">
        <v>13</v>
      </c>
      <c r="M3" s="53">
        <v>4</v>
      </c>
      <c r="N3" s="53">
        <v>5</v>
      </c>
      <c r="O3" s="53" t="s">
        <v>13</v>
      </c>
      <c r="P3" s="53">
        <v>4</v>
      </c>
      <c r="Q3" s="53">
        <v>5</v>
      </c>
      <c r="R3" s="53" t="s">
        <v>13</v>
      </c>
      <c r="S3" s="53">
        <v>0</v>
      </c>
      <c r="T3" s="53">
        <f>T2+1</f>
        <v>5</v>
      </c>
      <c r="U3" s="53" t="s">
        <v>146</v>
      </c>
      <c r="V3" s="53">
        <v>0</v>
      </c>
      <c r="W3" s="53">
        <v>5</v>
      </c>
      <c r="X3" s="53" t="s">
        <v>77</v>
      </c>
      <c r="Y3" s="53">
        <v>0</v>
      </c>
      <c r="Z3" s="53">
        <v>5</v>
      </c>
      <c r="AA3" s="53" t="s">
        <v>77</v>
      </c>
      <c r="AB3" s="53">
        <f t="shared" si="0"/>
        <v>4</v>
      </c>
      <c r="AC3" s="53">
        <f t="shared" si="1"/>
        <v>5</v>
      </c>
      <c r="AD3" s="55" t="str">
        <f t="shared" ref="AD3:AD66" si="4">INDEX($A3:$AA3,0,$AE$1+1)</f>
        <v>Press 241</v>
      </c>
      <c r="AG3" s="53">
        <f>IF($AF$1=Shift_Names!A18,Shift_Names!B18,0)</f>
        <v>0</v>
      </c>
      <c r="AI3" s="53" t="s">
        <v>170</v>
      </c>
      <c r="AJ3" s="53" t="s">
        <v>62</v>
      </c>
      <c r="AK3" s="53" t="str">
        <f t="shared" si="2"/>
        <v>Plant 1 Days</v>
      </c>
      <c r="AL3" s="53">
        <f t="shared" ref="AL3:AL9" si="5">AL2+1</f>
        <v>3</v>
      </c>
      <c r="AM3" s="53">
        <f t="shared" si="3"/>
        <v>0</v>
      </c>
    </row>
    <row r="4" spans="1:41">
      <c r="A4" s="53">
        <v>4</v>
      </c>
      <c r="B4" s="53">
        <v>6</v>
      </c>
      <c r="C4" s="53" t="s">
        <v>141</v>
      </c>
      <c r="D4" s="53">
        <v>4</v>
      </c>
      <c r="E4" s="53">
        <v>6</v>
      </c>
      <c r="F4" s="53" t="s">
        <v>141</v>
      </c>
      <c r="G4" s="53">
        <v>4</v>
      </c>
      <c r="H4" s="53">
        <v>6</v>
      </c>
      <c r="I4" s="53" t="s">
        <v>141</v>
      </c>
      <c r="J4" s="53">
        <v>4</v>
      </c>
      <c r="K4" s="53">
        <v>6</v>
      </c>
      <c r="L4" s="53" t="s">
        <v>14</v>
      </c>
      <c r="M4" s="53">
        <v>4</v>
      </c>
      <c r="N4" s="53">
        <v>6</v>
      </c>
      <c r="O4" s="53" t="s">
        <v>14</v>
      </c>
      <c r="P4" s="53">
        <v>4</v>
      </c>
      <c r="Q4" s="53">
        <v>6</v>
      </c>
      <c r="R4" s="53" t="s">
        <v>14</v>
      </c>
      <c r="S4" s="53">
        <v>0</v>
      </c>
      <c r="T4" s="53">
        <f t="shared" ref="T4:T7" si="6">T3+1</f>
        <v>6</v>
      </c>
      <c r="U4" s="53" t="s">
        <v>78</v>
      </c>
      <c r="V4" s="53">
        <v>0</v>
      </c>
      <c r="W4" s="53">
        <v>6</v>
      </c>
      <c r="X4" s="53" t="s">
        <v>78</v>
      </c>
      <c r="Y4" s="53">
        <v>0</v>
      </c>
      <c r="Z4" s="53">
        <v>6</v>
      </c>
      <c r="AA4" s="53" t="s">
        <v>78</v>
      </c>
      <c r="AB4" s="53">
        <f t="shared" si="0"/>
        <v>4</v>
      </c>
      <c r="AC4" s="53">
        <f t="shared" si="1"/>
        <v>6</v>
      </c>
      <c r="AD4" s="55" t="str">
        <f t="shared" si="4"/>
        <v>Press 242</v>
      </c>
      <c r="AG4" s="53">
        <f>IF($AF$1=Shift_Names!A19,Shift_Names!B19,0)</f>
        <v>0</v>
      </c>
      <c r="AI4" s="53" t="s">
        <v>171</v>
      </c>
      <c r="AJ4" s="53" t="s">
        <v>63</v>
      </c>
      <c r="AK4" s="53" t="str">
        <f t="shared" si="2"/>
        <v>Plant 1 Days</v>
      </c>
      <c r="AL4" s="53">
        <f t="shared" si="5"/>
        <v>4</v>
      </c>
      <c r="AM4" s="53">
        <f t="shared" si="3"/>
        <v>0</v>
      </c>
    </row>
    <row r="5" spans="1:41">
      <c r="A5" s="53">
        <v>4</v>
      </c>
      <c r="B5" s="53">
        <v>7</v>
      </c>
      <c r="C5" s="53" t="s">
        <v>142</v>
      </c>
      <c r="D5" s="53">
        <v>4</v>
      </c>
      <c r="E5" s="53">
        <v>7</v>
      </c>
      <c r="F5" s="53" t="s">
        <v>142</v>
      </c>
      <c r="G5" s="53">
        <v>4</v>
      </c>
      <c r="H5" s="53">
        <v>7</v>
      </c>
      <c r="I5" s="53" t="s">
        <v>142</v>
      </c>
      <c r="J5" s="53">
        <v>4</v>
      </c>
      <c r="K5" s="53">
        <v>7</v>
      </c>
      <c r="L5" s="53" t="s">
        <v>16</v>
      </c>
      <c r="M5" s="53">
        <v>4</v>
      </c>
      <c r="N5" s="53">
        <v>7</v>
      </c>
      <c r="O5" s="53" t="s">
        <v>16</v>
      </c>
      <c r="P5" s="53">
        <v>4</v>
      </c>
      <c r="Q5" s="53">
        <v>7</v>
      </c>
      <c r="R5" s="53" t="s">
        <v>16</v>
      </c>
      <c r="S5" s="53">
        <v>0</v>
      </c>
      <c r="T5" s="53">
        <f t="shared" si="6"/>
        <v>7</v>
      </c>
      <c r="U5" s="53" t="s">
        <v>79</v>
      </c>
      <c r="V5" s="53">
        <v>0</v>
      </c>
      <c r="W5" s="53">
        <v>7</v>
      </c>
      <c r="X5" s="53" t="s">
        <v>79</v>
      </c>
      <c r="Y5" s="53">
        <v>0</v>
      </c>
      <c r="Z5" s="53">
        <v>7</v>
      </c>
      <c r="AA5" s="53" t="s">
        <v>79</v>
      </c>
      <c r="AB5" s="53">
        <f t="shared" si="0"/>
        <v>4</v>
      </c>
      <c r="AC5" s="53">
        <f t="shared" si="1"/>
        <v>7</v>
      </c>
      <c r="AD5" s="55" t="str">
        <f t="shared" si="4"/>
        <v>Press 245</v>
      </c>
      <c r="AG5" s="53">
        <f>IF($AF$1=Shift_Names!A20,Shift_Names!B20,0)</f>
        <v>0</v>
      </c>
      <c r="AI5" s="53" t="s">
        <v>172</v>
      </c>
      <c r="AJ5" s="53" t="s">
        <v>44</v>
      </c>
      <c r="AK5" s="53" t="str">
        <f t="shared" si="2"/>
        <v>Plant 1 Days</v>
      </c>
      <c r="AL5" s="53">
        <f t="shared" si="5"/>
        <v>5</v>
      </c>
      <c r="AM5" s="53">
        <f t="shared" si="3"/>
        <v>0</v>
      </c>
    </row>
    <row r="6" spans="1:41">
      <c r="A6" s="53">
        <v>4</v>
      </c>
      <c r="B6" s="53">
        <v>8</v>
      </c>
      <c r="C6" s="53" t="s">
        <v>143</v>
      </c>
      <c r="D6" s="53">
        <v>4</v>
      </c>
      <c r="E6" s="53">
        <v>8</v>
      </c>
      <c r="F6" s="53" t="s">
        <v>143</v>
      </c>
      <c r="G6" s="53">
        <v>4</v>
      </c>
      <c r="H6" s="53">
        <v>8</v>
      </c>
      <c r="I6" s="53" t="s">
        <v>143</v>
      </c>
      <c r="J6" s="53">
        <v>4</v>
      </c>
      <c r="K6" s="53">
        <v>8</v>
      </c>
      <c r="L6" s="53" t="s">
        <v>15</v>
      </c>
      <c r="M6" s="53">
        <v>4</v>
      </c>
      <c r="N6" s="53">
        <v>8</v>
      </c>
      <c r="O6" s="53" t="s">
        <v>15</v>
      </c>
      <c r="P6" s="53">
        <v>4</v>
      </c>
      <c r="Q6" s="53">
        <v>8</v>
      </c>
      <c r="R6" s="53" t="s">
        <v>15</v>
      </c>
      <c r="S6" s="53">
        <v>0</v>
      </c>
      <c r="T6" s="53">
        <f t="shared" si="6"/>
        <v>8</v>
      </c>
      <c r="U6" s="53" t="s">
        <v>80</v>
      </c>
      <c r="V6" s="53">
        <v>0</v>
      </c>
      <c r="W6" s="53">
        <v>8</v>
      </c>
      <c r="X6" s="53" t="s">
        <v>80</v>
      </c>
      <c r="Y6" s="53">
        <v>0</v>
      </c>
      <c r="Z6" s="53">
        <v>8</v>
      </c>
      <c r="AA6" s="53" t="s">
        <v>80</v>
      </c>
      <c r="AB6" s="53">
        <f t="shared" si="0"/>
        <v>4</v>
      </c>
      <c r="AC6" s="53">
        <f t="shared" si="1"/>
        <v>8</v>
      </c>
      <c r="AD6" s="55" t="str">
        <f t="shared" si="4"/>
        <v>Press 261</v>
      </c>
      <c r="AG6" s="53">
        <f>IF($AF$1=Shift_Names!A21,Shift_Names!B21,0)</f>
        <v>0</v>
      </c>
      <c r="AI6" s="53" t="s">
        <v>173</v>
      </c>
      <c r="AJ6" s="53" t="s">
        <v>64</v>
      </c>
      <c r="AK6" s="53" t="str">
        <f t="shared" si="2"/>
        <v>Plant 1 Days</v>
      </c>
      <c r="AL6" s="53">
        <f t="shared" si="5"/>
        <v>6</v>
      </c>
      <c r="AM6" s="53">
        <f t="shared" si="3"/>
        <v>0</v>
      </c>
    </row>
    <row r="7" spans="1:41">
      <c r="A7" s="53">
        <v>4</v>
      </c>
      <c r="B7" s="53">
        <v>9</v>
      </c>
      <c r="C7" s="53" t="s">
        <v>177</v>
      </c>
      <c r="D7" s="53">
        <v>4</v>
      </c>
      <c r="E7" s="53">
        <v>9</v>
      </c>
      <c r="F7" s="53" t="s">
        <v>81</v>
      </c>
      <c r="G7" s="53">
        <v>4</v>
      </c>
      <c r="H7" s="53">
        <v>9</v>
      </c>
      <c r="I7" s="53" t="s">
        <v>81</v>
      </c>
      <c r="J7" s="53">
        <v>4</v>
      </c>
      <c r="K7" s="53">
        <v>17</v>
      </c>
      <c r="L7" s="53" t="s">
        <v>33</v>
      </c>
      <c r="M7" s="53">
        <v>4</v>
      </c>
      <c r="N7" s="53">
        <v>17</v>
      </c>
      <c r="O7" s="53" t="s">
        <v>33</v>
      </c>
      <c r="P7" s="53">
        <v>4</v>
      </c>
      <c r="Q7" s="53">
        <v>17</v>
      </c>
      <c r="R7" s="53" t="s">
        <v>33</v>
      </c>
      <c r="S7" s="53">
        <v>0</v>
      </c>
      <c r="T7" s="53">
        <f t="shared" si="6"/>
        <v>9</v>
      </c>
      <c r="U7" s="53" t="s">
        <v>82</v>
      </c>
      <c r="V7" s="53">
        <v>0</v>
      </c>
      <c r="W7" s="53">
        <v>9</v>
      </c>
      <c r="X7" s="53" t="s">
        <v>82</v>
      </c>
      <c r="Y7" s="53">
        <v>0</v>
      </c>
      <c r="Z7" s="53">
        <v>9</v>
      </c>
      <c r="AA7" s="53" t="s">
        <v>82</v>
      </c>
      <c r="AB7" s="53">
        <f t="shared" si="0"/>
        <v>4</v>
      </c>
      <c r="AC7" s="53">
        <f t="shared" si="1"/>
        <v>9</v>
      </c>
      <c r="AD7" s="55" t="str">
        <f t="shared" si="4"/>
        <v>Wafers / Pellets / TPM Sheets</v>
      </c>
      <c r="AG7" s="53">
        <f>IF($AF$1=Shift_Names!A22,Shift_Names!B22,0)</f>
        <v>0</v>
      </c>
      <c r="AI7" s="53" t="s">
        <v>174</v>
      </c>
      <c r="AJ7" s="53" t="s">
        <v>65</v>
      </c>
      <c r="AK7" s="53" t="str">
        <f t="shared" si="2"/>
        <v>Plant 1 Days</v>
      </c>
      <c r="AL7" s="53">
        <f t="shared" si="5"/>
        <v>7</v>
      </c>
      <c r="AM7" s="53">
        <f t="shared" si="3"/>
        <v>0</v>
      </c>
    </row>
    <row r="8" spans="1:41">
      <c r="A8" s="53">
        <v>4</v>
      </c>
      <c r="B8" s="53">
        <v>10</v>
      </c>
      <c r="C8" s="53" t="s">
        <v>83</v>
      </c>
      <c r="D8" s="53">
        <v>4</v>
      </c>
      <c r="E8" s="53">
        <v>11</v>
      </c>
      <c r="F8" s="53" t="s">
        <v>83</v>
      </c>
      <c r="G8" s="53">
        <v>4</v>
      </c>
      <c r="H8" s="53">
        <v>10</v>
      </c>
      <c r="I8" s="53" t="s">
        <v>83</v>
      </c>
      <c r="J8" s="53">
        <v>4</v>
      </c>
      <c r="K8" s="53">
        <v>25</v>
      </c>
      <c r="L8" s="53" t="s">
        <v>32</v>
      </c>
      <c r="M8" s="53">
        <v>4</v>
      </c>
      <c r="N8" s="53">
        <v>25</v>
      </c>
      <c r="O8" s="53" t="s">
        <v>32</v>
      </c>
      <c r="P8" s="53">
        <v>4</v>
      </c>
      <c r="Q8" s="53">
        <v>25</v>
      </c>
      <c r="R8" s="53" t="s">
        <v>32</v>
      </c>
      <c r="S8" s="53">
        <v>0</v>
      </c>
      <c r="T8" s="53">
        <v>16</v>
      </c>
      <c r="U8" s="53" t="s">
        <v>84</v>
      </c>
      <c r="V8" s="53">
        <v>0</v>
      </c>
      <c r="W8" s="53">
        <v>16</v>
      </c>
      <c r="X8" s="53" t="s">
        <v>84</v>
      </c>
      <c r="Y8" s="53">
        <v>0</v>
      </c>
      <c r="Z8" s="53">
        <v>16</v>
      </c>
      <c r="AA8" s="53" t="s">
        <v>84</v>
      </c>
      <c r="AB8" s="53">
        <f t="shared" si="0"/>
        <v>4</v>
      </c>
      <c r="AC8" s="53">
        <f t="shared" si="1"/>
        <v>10</v>
      </c>
      <c r="AD8" s="55" t="str">
        <f t="shared" si="4"/>
        <v>262/263</v>
      </c>
      <c r="AG8" s="53">
        <f>IF($AF$1=Shift_Names!A23,Shift_Names!B23,0)</f>
        <v>0</v>
      </c>
      <c r="AI8" s="53" t="s">
        <v>175</v>
      </c>
      <c r="AJ8" s="53" t="s">
        <v>66</v>
      </c>
      <c r="AK8" s="53" t="str">
        <f t="shared" si="2"/>
        <v>Plant 1 Days</v>
      </c>
      <c r="AL8" s="53">
        <f t="shared" si="5"/>
        <v>8</v>
      </c>
      <c r="AM8" s="53">
        <f t="shared" si="3"/>
        <v>0</v>
      </c>
    </row>
    <row r="9" spans="1:41">
      <c r="A9" s="53">
        <v>4</v>
      </c>
      <c r="B9" s="53">
        <v>17</v>
      </c>
      <c r="C9" s="53" t="s">
        <v>85</v>
      </c>
      <c r="D9" s="53">
        <v>4</v>
      </c>
      <c r="E9" s="53">
        <v>17</v>
      </c>
      <c r="F9" s="53" t="s">
        <v>85</v>
      </c>
      <c r="G9" s="53">
        <v>4</v>
      </c>
      <c r="H9" s="53">
        <v>17</v>
      </c>
      <c r="I9" s="53" t="s">
        <v>85</v>
      </c>
      <c r="J9" s="53">
        <v>4</v>
      </c>
      <c r="K9" s="53">
        <v>18</v>
      </c>
      <c r="L9" s="53" t="s">
        <v>31</v>
      </c>
      <c r="M9" s="53">
        <v>4</v>
      </c>
      <c r="N9" s="53">
        <v>18</v>
      </c>
      <c r="O9" s="53" t="s">
        <v>31</v>
      </c>
      <c r="P9" s="53">
        <v>4</v>
      </c>
      <c r="Q9" s="53">
        <v>18</v>
      </c>
      <c r="R9" s="53" t="s">
        <v>31</v>
      </c>
      <c r="S9" s="53">
        <v>0</v>
      </c>
      <c r="T9" s="53">
        <f>T8+1</f>
        <v>17</v>
      </c>
      <c r="U9" s="53" t="s">
        <v>86</v>
      </c>
      <c r="V9" s="53">
        <v>0</v>
      </c>
      <c r="W9" s="53">
        <v>17</v>
      </c>
      <c r="X9" s="53" t="s">
        <v>86</v>
      </c>
      <c r="Y9" s="53">
        <v>0</v>
      </c>
      <c r="Z9" s="53">
        <v>17</v>
      </c>
      <c r="AA9" s="53" t="s">
        <v>86</v>
      </c>
      <c r="AB9" s="53">
        <f t="shared" si="0"/>
        <v>4</v>
      </c>
      <c r="AC9" s="53">
        <f t="shared" si="1"/>
        <v>17</v>
      </c>
      <c r="AD9" s="55" t="str">
        <f t="shared" si="4"/>
        <v>349 - 10R Load</v>
      </c>
      <c r="AG9" s="53">
        <f>IF($AF$1=Shift_Names!A24,Shift_Names!B24,0)</f>
        <v>0</v>
      </c>
      <c r="AI9" s="53" t="s">
        <v>176</v>
      </c>
      <c r="AJ9" s="53" t="s">
        <v>67</v>
      </c>
      <c r="AK9" s="53" t="str">
        <f t="shared" si="2"/>
        <v>Plant 1 Days</v>
      </c>
      <c r="AL9" s="53">
        <f t="shared" si="5"/>
        <v>9</v>
      </c>
      <c r="AM9" s="53">
        <f t="shared" si="3"/>
        <v>0</v>
      </c>
    </row>
    <row r="10" spans="1:41">
      <c r="A10" s="53">
        <v>4</v>
      </c>
      <c r="B10" s="53">
        <v>18</v>
      </c>
      <c r="C10" s="53" t="s">
        <v>154</v>
      </c>
      <c r="D10" s="53">
        <v>4</v>
      </c>
      <c r="E10" s="53">
        <v>18</v>
      </c>
      <c r="F10" s="53" t="s">
        <v>85</v>
      </c>
      <c r="G10" s="53">
        <v>4</v>
      </c>
      <c r="H10" s="53">
        <v>18</v>
      </c>
      <c r="I10" s="53" t="s">
        <v>85</v>
      </c>
      <c r="J10" s="53">
        <v>4</v>
      </c>
      <c r="K10" s="53">
        <v>26</v>
      </c>
      <c r="L10" s="53" t="s">
        <v>30</v>
      </c>
      <c r="M10" s="53">
        <v>4</v>
      </c>
      <c r="N10" s="53">
        <v>26</v>
      </c>
      <c r="O10" s="53" t="s">
        <v>30</v>
      </c>
      <c r="P10" s="53">
        <v>4</v>
      </c>
      <c r="Q10" s="53">
        <v>26</v>
      </c>
      <c r="R10" s="53" t="s">
        <v>30</v>
      </c>
      <c r="S10" s="53">
        <v>0</v>
      </c>
      <c r="T10" s="53">
        <f t="shared" ref="T10:T22" si="7">T9+1</f>
        <v>18</v>
      </c>
      <c r="U10" s="53" t="s">
        <v>87</v>
      </c>
      <c r="V10" s="53">
        <v>0</v>
      </c>
      <c r="W10" s="53">
        <v>18</v>
      </c>
      <c r="X10" s="53" t="s">
        <v>87</v>
      </c>
      <c r="Y10" s="53">
        <v>0</v>
      </c>
      <c r="Z10" s="53">
        <v>18</v>
      </c>
      <c r="AA10" s="53" t="s">
        <v>87</v>
      </c>
      <c r="AB10" s="53">
        <f t="shared" si="0"/>
        <v>4</v>
      </c>
      <c r="AC10" s="53">
        <f t="shared" si="1"/>
        <v>18</v>
      </c>
      <c r="AD10" s="55" t="str">
        <f t="shared" si="4"/>
        <v>10R ASSEMBLER</v>
      </c>
    </row>
    <row r="11" spans="1:41">
      <c r="A11" s="53">
        <v>4</v>
      </c>
      <c r="B11" s="53">
        <v>19</v>
      </c>
      <c r="C11" s="53" t="s">
        <v>88</v>
      </c>
      <c r="D11" s="53">
        <v>4</v>
      </c>
      <c r="E11" s="53">
        <v>19</v>
      </c>
      <c r="F11" s="53" t="s">
        <v>88</v>
      </c>
      <c r="G11" s="53">
        <v>4</v>
      </c>
      <c r="H11" s="53">
        <v>19</v>
      </c>
      <c r="I11" s="53" t="s">
        <v>88</v>
      </c>
      <c r="J11" s="53">
        <v>4</v>
      </c>
      <c r="K11" s="53">
        <v>22</v>
      </c>
      <c r="L11" s="53" t="s">
        <v>29</v>
      </c>
      <c r="M11" s="53">
        <v>4</v>
      </c>
      <c r="N11" s="53">
        <v>22</v>
      </c>
      <c r="O11" s="53" t="s">
        <v>29</v>
      </c>
      <c r="P11" s="53">
        <v>4</v>
      </c>
      <c r="Q11" s="53">
        <v>22</v>
      </c>
      <c r="R11" s="53" t="s">
        <v>29</v>
      </c>
      <c r="S11" s="53">
        <v>0</v>
      </c>
      <c r="T11" s="53">
        <f t="shared" si="7"/>
        <v>19</v>
      </c>
      <c r="U11" s="53" t="s">
        <v>89</v>
      </c>
      <c r="V11" s="53">
        <v>0</v>
      </c>
      <c r="W11" s="53">
        <v>19</v>
      </c>
      <c r="X11" s="53" t="s">
        <v>89</v>
      </c>
      <c r="Y11" s="53">
        <v>0</v>
      </c>
      <c r="Z11" s="53">
        <v>19</v>
      </c>
      <c r="AA11" s="53" t="s">
        <v>89</v>
      </c>
      <c r="AB11" s="53">
        <f t="shared" si="0"/>
        <v>4</v>
      </c>
      <c r="AC11" s="53">
        <f t="shared" si="1"/>
        <v>19</v>
      </c>
      <c r="AD11" s="55" t="str">
        <f t="shared" si="4"/>
        <v>349 - 10R UnLoad</v>
      </c>
    </row>
    <row r="12" spans="1:41">
      <c r="A12" s="53">
        <v>4</v>
      </c>
      <c r="B12" s="53">
        <f>B11+1</f>
        <v>20</v>
      </c>
      <c r="C12" s="53" t="s">
        <v>90</v>
      </c>
      <c r="D12" s="53">
        <v>4</v>
      </c>
      <c r="E12" s="53">
        <v>20</v>
      </c>
      <c r="F12" s="53" t="s">
        <v>90</v>
      </c>
      <c r="G12" s="53">
        <v>4</v>
      </c>
      <c r="H12" s="53">
        <v>20</v>
      </c>
      <c r="I12" s="53" t="s">
        <v>90</v>
      </c>
      <c r="J12" s="53">
        <v>4</v>
      </c>
      <c r="K12" s="53">
        <v>23</v>
      </c>
      <c r="L12" s="53" t="s">
        <v>29</v>
      </c>
      <c r="M12" s="53">
        <v>4</v>
      </c>
      <c r="N12" s="53">
        <v>23</v>
      </c>
      <c r="O12" s="53" t="s">
        <v>29</v>
      </c>
      <c r="P12" s="53">
        <v>4</v>
      </c>
      <c r="Q12" s="53">
        <v>23</v>
      </c>
      <c r="R12" s="53" t="s">
        <v>29</v>
      </c>
      <c r="S12" s="53">
        <v>0</v>
      </c>
      <c r="T12" s="53">
        <f t="shared" si="7"/>
        <v>20</v>
      </c>
      <c r="U12" s="53" t="s">
        <v>91</v>
      </c>
      <c r="V12" s="53">
        <v>0</v>
      </c>
      <c r="W12" s="53">
        <v>20</v>
      </c>
      <c r="X12" s="53" t="s">
        <v>91</v>
      </c>
      <c r="Y12" s="53">
        <v>0</v>
      </c>
      <c r="Z12" s="53">
        <v>20</v>
      </c>
      <c r="AA12" s="53" t="s">
        <v>91</v>
      </c>
      <c r="AB12" s="53">
        <f t="shared" si="0"/>
        <v>4</v>
      </c>
      <c r="AC12" s="53">
        <f t="shared" si="1"/>
        <v>20</v>
      </c>
      <c r="AD12" s="55" t="str">
        <f t="shared" si="4"/>
        <v>314 - Load</v>
      </c>
    </row>
    <row r="13" spans="1:41">
      <c r="A13" s="53">
        <v>4</v>
      </c>
      <c r="B13" s="53">
        <f t="shared" ref="B13:B19" si="8">B12+1</f>
        <v>21</v>
      </c>
      <c r="C13" s="53" t="s">
        <v>92</v>
      </c>
      <c r="D13" s="53">
        <v>4</v>
      </c>
      <c r="E13" s="53">
        <v>21</v>
      </c>
      <c r="F13" s="53" t="s">
        <v>92</v>
      </c>
      <c r="G13" s="53">
        <v>4</v>
      </c>
      <c r="H13" s="53">
        <v>21</v>
      </c>
      <c r="I13" s="53" t="s">
        <v>92</v>
      </c>
      <c r="J13" s="53">
        <v>4</v>
      </c>
      <c r="K13" s="53">
        <v>29</v>
      </c>
      <c r="L13" s="53" t="s">
        <v>28</v>
      </c>
      <c r="M13" s="53">
        <v>4</v>
      </c>
      <c r="N13" s="53">
        <v>29</v>
      </c>
      <c r="O13" s="53" t="s">
        <v>28</v>
      </c>
      <c r="P13" s="53">
        <v>4</v>
      </c>
      <c r="Q13" s="53">
        <v>29</v>
      </c>
      <c r="R13" s="53" t="s">
        <v>28</v>
      </c>
      <c r="S13" s="53">
        <v>0</v>
      </c>
      <c r="T13" s="53">
        <f t="shared" si="7"/>
        <v>21</v>
      </c>
      <c r="U13" s="53" t="s">
        <v>93</v>
      </c>
      <c r="V13" s="53">
        <v>0</v>
      </c>
      <c r="W13" s="53">
        <v>21</v>
      </c>
      <c r="X13" s="53" t="s">
        <v>93</v>
      </c>
      <c r="Y13" s="53">
        <v>0</v>
      </c>
      <c r="Z13" s="53">
        <v>21</v>
      </c>
      <c r="AA13" s="53" t="s">
        <v>93</v>
      </c>
      <c r="AB13" s="53">
        <f t="shared" si="0"/>
        <v>4</v>
      </c>
      <c r="AC13" s="53">
        <f t="shared" si="1"/>
        <v>21</v>
      </c>
      <c r="AD13" s="55" t="str">
        <f t="shared" si="4"/>
        <v>316 - Load</v>
      </c>
    </row>
    <row r="14" spans="1:41">
      <c r="A14" s="53">
        <v>4</v>
      </c>
      <c r="B14" s="53">
        <f t="shared" si="8"/>
        <v>22</v>
      </c>
      <c r="C14" s="53" t="s">
        <v>94</v>
      </c>
      <c r="D14" s="53">
        <v>4</v>
      </c>
      <c r="E14" s="53">
        <v>22</v>
      </c>
      <c r="F14" s="53" t="s">
        <v>94</v>
      </c>
      <c r="G14" s="53">
        <v>4</v>
      </c>
      <c r="H14" s="53">
        <v>22</v>
      </c>
      <c r="I14" s="53" t="s">
        <v>94</v>
      </c>
      <c r="J14" s="53">
        <v>4</v>
      </c>
      <c r="K14" s="53">
        <v>19</v>
      </c>
      <c r="L14" s="53" t="s">
        <v>27</v>
      </c>
      <c r="M14" s="53">
        <v>4</v>
      </c>
      <c r="N14" s="53">
        <v>19</v>
      </c>
      <c r="O14" s="53" t="s">
        <v>27</v>
      </c>
      <c r="P14" s="53">
        <v>4</v>
      </c>
      <c r="Q14" s="53">
        <v>19</v>
      </c>
      <c r="R14" s="53" t="s">
        <v>27</v>
      </c>
      <c r="S14" s="53">
        <v>0</v>
      </c>
      <c r="T14" s="53">
        <f t="shared" si="7"/>
        <v>22</v>
      </c>
      <c r="U14" s="53" t="s">
        <v>95</v>
      </c>
      <c r="V14" s="53">
        <v>0</v>
      </c>
      <c r="W14" s="53">
        <v>22</v>
      </c>
      <c r="X14" s="53" t="s">
        <v>95</v>
      </c>
      <c r="Y14" s="53">
        <v>0</v>
      </c>
      <c r="Z14" s="53">
        <v>22</v>
      </c>
      <c r="AA14" s="53" t="s">
        <v>95</v>
      </c>
      <c r="AB14" s="53">
        <f t="shared" si="0"/>
        <v>4</v>
      </c>
      <c r="AC14" s="53">
        <f t="shared" si="1"/>
        <v>22</v>
      </c>
      <c r="AD14" s="55" t="str">
        <f t="shared" si="4"/>
        <v>314 - Supply</v>
      </c>
    </row>
    <row r="15" spans="1:41">
      <c r="A15" s="53">
        <v>4</v>
      </c>
      <c r="B15" s="53">
        <f t="shared" si="8"/>
        <v>23</v>
      </c>
      <c r="C15" s="53" t="s">
        <v>96</v>
      </c>
      <c r="D15" s="53">
        <v>4</v>
      </c>
      <c r="E15" s="53">
        <v>23</v>
      </c>
      <c r="F15" s="53" t="s">
        <v>98</v>
      </c>
      <c r="G15" s="53">
        <v>4</v>
      </c>
      <c r="H15" s="53">
        <v>23</v>
      </c>
      <c r="I15" s="53" t="s">
        <v>98</v>
      </c>
      <c r="J15" s="53">
        <v>4</v>
      </c>
      <c r="K15" s="53">
        <v>20</v>
      </c>
      <c r="L15" s="53" t="s">
        <v>27</v>
      </c>
      <c r="M15" s="53">
        <v>4</v>
      </c>
      <c r="N15" s="53">
        <v>20</v>
      </c>
      <c r="O15" s="53" t="s">
        <v>27</v>
      </c>
      <c r="P15" s="53">
        <v>4</v>
      </c>
      <c r="Q15" s="53">
        <v>20</v>
      </c>
      <c r="R15" s="53" t="s">
        <v>27</v>
      </c>
      <c r="S15" s="53">
        <v>0</v>
      </c>
      <c r="T15" s="53">
        <f t="shared" si="7"/>
        <v>23</v>
      </c>
      <c r="U15" s="53" t="s">
        <v>97</v>
      </c>
      <c r="V15" s="53">
        <v>0</v>
      </c>
      <c r="W15" s="53">
        <v>23</v>
      </c>
      <c r="X15" s="53" t="s">
        <v>97</v>
      </c>
      <c r="Y15" s="53">
        <v>0</v>
      </c>
      <c r="Z15" s="53">
        <v>23</v>
      </c>
      <c r="AA15" s="53" t="s">
        <v>97</v>
      </c>
      <c r="AB15" s="53">
        <f t="shared" si="0"/>
        <v>4</v>
      </c>
      <c r="AC15" s="53">
        <f t="shared" si="1"/>
        <v>23</v>
      </c>
      <c r="AD15" s="55" t="str">
        <f t="shared" si="4"/>
        <v>314 - Unload</v>
      </c>
    </row>
    <row r="16" spans="1:41">
      <c r="A16" s="53">
        <v>4</v>
      </c>
      <c r="B16" s="53">
        <f t="shared" si="8"/>
        <v>24</v>
      </c>
      <c r="C16" s="53" t="s">
        <v>98</v>
      </c>
      <c r="D16" s="53">
        <v>4</v>
      </c>
      <c r="E16" s="53">
        <v>24</v>
      </c>
      <c r="F16" s="53" t="s">
        <v>96</v>
      </c>
      <c r="G16" s="53">
        <v>4</v>
      </c>
      <c r="H16" s="53">
        <v>24</v>
      </c>
      <c r="I16" s="53" t="s">
        <v>96</v>
      </c>
      <c r="J16" s="53">
        <v>4</v>
      </c>
      <c r="K16" s="53">
        <v>21</v>
      </c>
      <c r="L16" s="53" t="s">
        <v>27</v>
      </c>
      <c r="M16" s="53">
        <v>4</v>
      </c>
      <c r="N16" s="53">
        <v>21</v>
      </c>
      <c r="O16" s="53" t="s">
        <v>27</v>
      </c>
      <c r="P16" s="53">
        <v>4</v>
      </c>
      <c r="Q16" s="53">
        <v>21</v>
      </c>
      <c r="R16" s="53" t="s">
        <v>27</v>
      </c>
      <c r="S16" s="53">
        <v>0</v>
      </c>
      <c r="T16" s="53">
        <f t="shared" si="7"/>
        <v>24</v>
      </c>
      <c r="U16" s="53" t="s">
        <v>99</v>
      </c>
      <c r="V16" s="53">
        <v>0</v>
      </c>
      <c r="W16" s="53">
        <v>24</v>
      </c>
      <c r="X16" s="53" t="s">
        <v>99</v>
      </c>
      <c r="Y16" s="53">
        <v>0</v>
      </c>
      <c r="Z16" s="53">
        <v>24</v>
      </c>
      <c r="AA16" s="53" t="s">
        <v>99</v>
      </c>
      <c r="AB16" s="53">
        <f t="shared" si="0"/>
        <v>4</v>
      </c>
      <c r="AC16" s="53">
        <f t="shared" si="1"/>
        <v>24</v>
      </c>
      <c r="AD16" s="55" t="str">
        <f t="shared" si="4"/>
        <v>316 - Unload</v>
      </c>
    </row>
    <row r="17" spans="1:30">
      <c r="A17" s="53">
        <v>4</v>
      </c>
      <c r="B17" s="53">
        <f t="shared" si="8"/>
        <v>25</v>
      </c>
      <c r="C17" s="53" t="s">
        <v>100</v>
      </c>
      <c r="D17" s="53">
        <v>4</v>
      </c>
      <c r="E17" s="53">
        <v>25</v>
      </c>
      <c r="F17" s="53" t="s">
        <v>100</v>
      </c>
      <c r="G17" s="53">
        <v>4</v>
      </c>
      <c r="H17" s="53">
        <v>25</v>
      </c>
      <c r="I17" s="53" t="s">
        <v>100</v>
      </c>
      <c r="J17" s="53">
        <v>4</v>
      </c>
      <c r="K17" s="53">
        <v>30</v>
      </c>
      <c r="L17" s="53" t="s">
        <v>166</v>
      </c>
      <c r="M17" s="53">
        <v>4</v>
      </c>
      <c r="N17" s="53">
        <v>27</v>
      </c>
      <c r="O17" s="53" t="s">
        <v>26</v>
      </c>
      <c r="P17" s="53">
        <v>4</v>
      </c>
      <c r="Q17" s="53">
        <v>27</v>
      </c>
      <c r="R17" s="53" t="s">
        <v>26</v>
      </c>
      <c r="S17" s="53">
        <v>0</v>
      </c>
      <c r="T17" s="53">
        <f t="shared" si="7"/>
        <v>25</v>
      </c>
      <c r="U17" s="53" t="s">
        <v>101</v>
      </c>
      <c r="V17" s="53">
        <v>0</v>
      </c>
      <c r="W17" s="53">
        <v>25</v>
      </c>
      <c r="X17" s="53" t="s">
        <v>101</v>
      </c>
      <c r="Y17" s="53">
        <v>0</v>
      </c>
      <c r="Z17" s="53">
        <v>25</v>
      </c>
      <c r="AA17" s="53" t="s">
        <v>101</v>
      </c>
      <c r="AB17" s="53">
        <f t="shared" si="0"/>
        <v>4</v>
      </c>
      <c r="AC17" s="53">
        <f t="shared" si="1"/>
        <v>25</v>
      </c>
      <c r="AD17" s="55" t="str">
        <f t="shared" si="4"/>
        <v>331 - Load</v>
      </c>
    </row>
    <row r="18" spans="1:30">
      <c r="A18" s="53">
        <v>4</v>
      </c>
      <c r="B18" s="53">
        <f t="shared" si="8"/>
        <v>26</v>
      </c>
      <c r="C18" s="53" t="s">
        <v>102</v>
      </c>
      <c r="D18" s="53">
        <v>4</v>
      </c>
      <c r="E18" s="53">
        <v>26</v>
      </c>
      <c r="F18" s="53" t="s">
        <v>102</v>
      </c>
      <c r="G18" s="53">
        <v>4</v>
      </c>
      <c r="H18" s="53">
        <v>26</v>
      </c>
      <c r="I18" s="53" t="s">
        <v>102</v>
      </c>
      <c r="J18" s="53">
        <v>4</v>
      </c>
      <c r="K18" s="53">
        <v>31</v>
      </c>
      <c r="L18" s="53" t="s">
        <v>166</v>
      </c>
      <c r="M18" s="53">
        <v>4</v>
      </c>
      <c r="N18" s="53">
        <v>28</v>
      </c>
      <c r="O18" s="53" t="s">
        <v>25</v>
      </c>
      <c r="P18" s="53">
        <v>4</v>
      </c>
      <c r="Q18" s="53">
        <v>28</v>
      </c>
      <c r="R18" s="53" t="s">
        <v>25</v>
      </c>
      <c r="S18" s="53">
        <v>0</v>
      </c>
      <c r="T18" s="53">
        <f t="shared" si="7"/>
        <v>26</v>
      </c>
      <c r="U18" s="53" t="s">
        <v>103</v>
      </c>
      <c r="V18" s="53">
        <v>0</v>
      </c>
      <c r="W18" s="53">
        <v>26</v>
      </c>
      <c r="X18" s="53" t="s">
        <v>103</v>
      </c>
      <c r="Y18" s="53">
        <v>0</v>
      </c>
      <c r="Z18" s="53">
        <v>26</v>
      </c>
      <c r="AA18" s="53" t="s">
        <v>103</v>
      </c>
      <c r="AB18" s="53">
        <f t="shared" si="0"/>
        <v>4</v>
      </c>
      <c r="AC18" s="53">
        <f t="shared" si="1"/>
        <v>26</v>
      </c>
      <c r="AD18" s="55" t="str">
        <f t="shared" si="4"/>
        <v>331 - Supply</v>
      </c>
    </row>
    <row r="19" spans="1:30">
      <c r="A19" s="53">
        <v>4</v>
      </c>
      <c r="B19" s="53">
        <f t="shared" si="8"/>
        <v>27</v>
      </c>
      <c r="C19" s="53" t="s">
        <v>104</v>
      </c>
      <c r="D19" s="53">
        <v>4</v>
      </c>
      <c r="E19" s="53">
        <v>27</v>
      </c>
      <c r="F19" s="53" t="s">
        <v>104</v>
      </c>
      <c r="G19" s="53">
        <v>4</v>
      </c>
      <c r="H19" s="53">
        <v>27</v>
      </c>
      <c r="I19" s="53" t="s">
        <v>104</v>
      </c>
      <c r="J19" s="53">
        <v>0</v>
      </c>
      <c r="K19" s="53">
        <v>4</v>
      </c>
      <c r="L19" s="53" t="s">
        <v>165</v>
      </c>
      <c r="M19" s="53">
        <v>0</v>
      </c>
      <c r="N19" s="53">
        <v>4</v>
      </c>
      <c r="O19" s="53" t="s">
        <v>165</v>
      </c>
      <c r="P19" s="53">
        <v>0</v>
      </c>
      <c r="Q19" s="53">
        <v>4</v>
      </c>
      <c r="R19" s="53" t="s">
        <v>165</v>
      </c>
      <c r="S19" s="53">
        <v>0</v>
      </c>
      <c r="T19" s="53">
        <f t="shared" si="7"/>
        <v>27</v>
      </c>
      <c r="U19" s="53" t="s">
        <v>105</v>
      </c>
      <c r="V19" s="53">
        <v>0</v>
      </c>
      <c r="W19" s="53">
        <v>27</v>
      </c>
      <c r="X19" s="53" t="s">
        <v>105</v>
      </c>
      <c r="Y19" s="53">
        <v>0</v>
      </c>
      <c r="Z19" s="53">
        <v>27</v>
      </c>
      <c r="AA19" s="53" t="s">
        <v>105</v>
      </c>
      <c r="AB19" s="53">
        <f t="shared" si="0"/>
        <v>4</v>
      </c>
      <c r="AC19" s="53">
        <f t="shared" si="1"/>
        <v>27</v>
      </c>
      <c r="AD19" s="55" t="str">
        <f t="shared" si="4"/>
        <v>331 - Unload</v>
      </c>
    </row>
    <row r="20" spans="1:30">
      <c r="A20" s="53">
        <v>0</v>
      </c>
      <c r="B20" s="53">
        <v>9</v>
      </c>
      <c r="C20" s="53" t="s">
        <v>106</v>
      </c>
      <c r="D20" s="53">
        <v>4</v>
      </c>
      <c r="E20" s="53">
        <v>12</v>
      </c>
      <c r="F20" s="53" t="s">
        <v>106</v>
      </c>
      <c r="G20" s="53">
        <v>4</v>
      </c>
      <c r="H20" s="53">
        <v>12</v>
      </c>
      <c r="I20" s="53" t="s">
        <v>162</v>
      </c>
      <c r="J20" s="53">
        <v>0</v>
      </c>
      <c r="K20" s="53">
        <v>5</v>
      </c>
      <c r="L20" s="53" t="s">
        <v>164</v>
      </c>
      <c r="M20" s="53">
        <v>0</v>
      </c>
      <c r="N20" s="53">
        <v>5</v>
      </c>
      <c r="O20" s="53" t="s">
        <v>164</v>
      </c>
      <c r="P20" s="53">
        <v>0</v>
      </c>
      <c r="Q20" s="53">
        <v>5</v>
      </c>
      <c r="R20" s="53" t="s">
        <v>164</v>
      </c>
      <c r="S20" s="53">
        <v>0</v>
      </c>
      <c r="T20" s="53">
        <f t="shared" si="7"/>
        <v>28</v>
      </c>
      <c r="U20" s="53" t="s">
        <v>147</v>
      </c>
      <c r="V20" s="53">
        <v>0</v>
      </c>
      <c r="W20" s="53">
        <v>28</v>
      </c>
      <c r="X20" s="53" t="s">
        <v>147</v>
      </c>
      <c r="Y20" s="53">
        <v>0</v>
      </c>
      <c r="Z20" s="53">
        <v>28</v>
      </c>
      <c r="AA20" s="53" t="s">
        <v>147</v>
      </c>
      <c r="AB20" s="53">
        <f t="shared" si="0"/>
        <v>0</v>
      </c>
      <c r="AC20" s="53">
        <f t="shared" si="1"/>
        <v>9</v>
      </c>
      <c r="AD20" s="55" t="str">
        <f t="shared" si="4"/>
        <v>Carrier Assembler</v>
      </c>
    </row>
    <row r="21" spans="1:30">
      <c r="A21" s="53">
        <v>0</v>
      </c>
      <c r="B21" s="53">
        <v>10</v>
      </c>
      <c r="C21" s="53" t="s">
        <v>107</v>
      </c>
      <c r="D21" s="53">
        <v>4</v>
      </c>
      <c r="E21" s="53">
        <v>13</v>
      </c>
      <c r="F21" s="53" t="s">
        <v>107</v>
      </c>
      <c r="G21" s="53">
        <v>4</v>
      </c>
      <c r="H21" s="53">
        <v>13</v>
      </c>
      <c r="I21" s="53" t="s">
        <v>163</v>
      </c>
      <c r="J21" s="53">
        <v>0</v>
      </c>
      <c r="K21" s="53">
        <v>6</v>
      </c>
      <c r="L21" s="53" t="s">
        <v>119</v>
      </c>
      <c r="M21" s="53">
        <v>0</v>
      </c>
      <c r="N21" s="53">
        <v>6</v>
      </c>
      <c r="O21" s="53" t="s">
        <v>119</v>
      </c>
      <c r="P21" s="53">
        <v>0</v>
      </c>
      <c r="Q21" s="53">
        <v>6</v>
      </c>
      <c r="R21" s="53" t="s">
        <v>119</v>
      </c>
      <c r="S21" s="53">
        <v>0</v>
      </c>
      <c r="T21" s="53">
        <f t="shared" si="7"/>
        <v>29</v>
      </c>
      <c r="U21" s="53" t="s">
        <v>148</v>
      </c>
      <c r="V21" s="53">
        <v>0</v>
      </c>
      <c r="W21" s="53">
        <v>29</v>
      </c>
      <c r="X21" s="53" t="s">
        <v>148</v>
      </c>
      <c r="Y21" s="53">
        <v>0</v>
      </c>
      <c r="Z21" s="53">
        <v>29</v>
      </c>
      <c r="AA21" s="53" t="s">
        <v>148</v>
      </c>
      <c r="AB21" s="53">
        <f t="shared" si="0"/>
        <v>0</v>
      </c>
      <c r="AC21" s="53">
        <f t="shared" si="1"/>
        <v>10</v>
      </c>
      <c r="AD21" s="55" t="str">
        <f t="shared" si="4"/>
        <v>Vision / Broach</v>
      </c>
    </row>
    <row r="22" spans="1:30">
      <c r="A22" s="53">
        <v>4</v>
      </c>
      <c r="B22" s="53">
        <v>13</v>
      </c>
      <c r="C22" s="53" t="s">
        <v>108</v>
      </c>
      <c r="D22" s="53">
        <v>0</v>
      </c>
      <c r="E22" s="53">
        <v>4</v>
      </c>
      <c r="F22" s="53" t="s">
        <v>152</v>
      </c>
      <c r="G22" s="53">
        <v>0</v>
      </c>
      <c r="H22" s="53">
        <v>4</v>
      </c>
      <c r="I22" s="53" t="s">
        <v>153</v>
      </c>
      <c r="J22" s="53">
        <v>0</v>
      </c>
      <c r="K22" s="53">
        <v>7</v>
      </c>
      <c r="L22" s="53" t="s">
        <v>121</v>
      </c>
      <c r="M22" s="53">
        <v>0</v>
      </c>
      <c r="N22" s="53">
        <v>7</v>
      </c>
      <c r="O22" s="53" t="s">
        <v>121</v>
      </c>
      <c r="P22" s="53">
        <v>0</v>
      </c>
      <c r="Q22" s="53">
        <v>7</v>
      </c>
      <c r="R22" s="53" t="s">
        <v>121</v>
      </c>
      <c r="S22" s="53">
        <v>0</v>
      </c>
      <c r="T22" s="53">
        <f t="shared" si="7"/>
        <v>30</v>
      </c>
      <c r="U22" s="53" t="s">
        <v>149</v>
      </c>
      <c r="V22" s="53">
        <v>0</v>
      </c>
      <c r="W22" s="53">
        <v>30</v>
      </c>
      <c r="X22" s="53" t="s">
        <v>149</v>
      </c>
      <c r="Y22" s="53">
        <v>0</v>
      </c>
      <c r="Z22" s="53">
        <v>30</v>
      </c>
      <c r="AA22" s="53" t="s">
        <v>149</v>
      </c>
      <c r="AB22" s="53">
        <f t="shared" si="0"/>
        <v>4</v>
      </c>
      <c r="AC22" s="53">
        <f t="shared" si="1"/>
        <v>13</v>
      </c>
      <c r="AD22" s="55" t="str">
        <f t="shared" si="4"/>
        <v>Danly/600R</v>
      </c>
    </row>
    <row r="23" spans="1:30">
      <c r="A23" s="53">
        <v>0</v>
      </c>
      <c r="B23" s="53">
        <v>4</v>
      </c>
      <c r="C23" s="53" t="s">
        <v>153</v>
      </c>
      <c r="D23" s="53">
        <v>0</v>
      </c>
      <c r="E23" s="53">
        <v>5</v>
      </c>
      <c r="F23" s="53" t="s">
        <v>109</v>
      </c>
      <c r="G23" s="53">
        <v>0</v>
      </c>
      <c r="H23" s="53">
        <v>5</v>
      </c>
      <c r="I23" s="53" t="s">
        <v>109</v>
      </c>
      <c r="J23" s="53">
        <v>0</v>
      </c>
      <c r="K23" s="53">
        <v>8</v>
      </c>
      <c r="L23" s="53" t="s">
        <v>178</v>
      </c>
      <c r="M23" s="53">
        <v>0</v>
      </c>
      <c r="N23" s="53">
        <v>8</v>
      </c>
      <c r="O23" s="53" t="s">
        <v>178</v>
      </c>
      <c r="P23" s="53">
        <v>0</v>
      </c>
      <c r="Q23" s="53">
        <v>8</v>
      </c>
      <c r="R23" s="53" t="s">
        <v>178</v>
      </c>
      <c r="S23" s="93">
        <v>0</v>
      </c>
      <c r="T23" s="93">
        <v>43</v>
      </c>
      <c r="U23" s="93" t="s">
        <v>40</v>
      </c>
      <c r="V23" s="93">
        <v>0</v>
      </c>
      <c r="W23" s="93">
        <v>43</v>
      </c>
      <c r="X23" s="93" t="s">
        <v>40</v>
      </c>
      <c r="Y23" s="93">
        <v>0</v>
      </c>
      <c r="Z23" s="93">
        <v>43</v>
      </c>
      <c r="AA23" s="93" t="s">
        <v>40</v>
      </c>
      <c r="AB23" s="53">
        <f t="shared" si="0"/>
        <v>0</v>
      </c>
      <c r="AC23" s="53">
        <f t="shared" si="1"/>
        <v>4</v>
      </c>
      <c r="AD23" s="55" t="str">
        <f t="shared" si="4"/>
        <v>Tesma/5710 CNC</v>
      </c>
    </row>
    <row r="24" spans="1:30">
      <c r="A24" s="53">
        <v>0</v>
      </c>
      <c r="B24" s="53">
        <f>B23+1</f>
        <v>5</v>
      </c>
      <c r="C24" s="53" t="s">
        <v>109</v>
      </c>
      <c r="D24" s="53">
        <v>0</v>
      </c>
      <c r="E24" s="53">
        <v>6</v>
      </c>
      <c r="F24" s="53" t="s">
        <v>109</v>
      </c>
      <c r="G24" s="53">
        <v>0</v>
      </c>
      <c r="H24" s="53">
        <v>6</v>
      </c>
      <c r="I24" s="53" t="s">
        <v>109</v>
      </c>
      <c r="J24" s="53">
        <v>0</v>
      </c>
      <c r="K24" s="53">
        <v>9</v>
      </c>
      <c r="L24" s="53" t="s">
        <v>178</v>
      </c>
      <c r="M24" s="53">
        <v>0</v>
      </c>
      <c r="N24" s="53">
        <v>9</v>
      </c>
      <c r="O24" s="53" t="s">
        <v>178</v>
      </c>
      <c r="P24" s="53">
        <v>0</v>
      </c>
      <c r="Q24" s="53">
        <v>9</v>
      </c>
      <c r="R24" s="53" t="s">
        <v>178</v>
      </c>
      <c r="S24" s="93">
        <v>0</v>
      </c>
      <c r="T24" s="93">
        <v>44</v>
      </c>
      <c r="U24" s="93" t="s">
        <v>40</v>
      </c>
      <c r="V24" s="93">
        <v>0</v>
      </c>
      <c r="W24" s="93">
        <v>44</v>
      </c>
      <c r="X24" s="93" t="s">
        <v>40</v>
      </c>
      <c r="Y24" s="93">
        <v>0</v>
      </c>
      <c r="Z24" s="93">
        <v>44</v>
      </c>
      <c r="AA24" s="93" t="s">
        <v>40</v>
      </c>
      <c r="AB24" s="53">
        <f t="shared" si="0"/>
        <v>0</v>
      </c>
      <c r="AC24" s="53">
        <f t="shared" si="1"/>
        <v>5</v>
      </c>
      <c r="AD24" s="55" t="str">
        <f t="shared" si="4"/>
        <v>Magna Opt/Tri</v>
      </c>
    </row>
    <row r="25" spans="1:30">
      <c r="A25" s="53">
        <v>0</v>
      </c>
      <c r="B25" s="53">
        <f t="shared" ref="B25:B26" si="9">B24+1</f>
        <v>6</v>
      </c>
      <c r="C25" s="53" t="s">
        <v>109</v>
      </c>
      <c r="D25" s="53">
        <v>0</v>
      </c>
      <c r="E25" s="53">
        <v>7</v>
      </c>
      <c r="F25" s="53" t="s">
        <v>109</v>
      </c>
      <c r="G25" s="53">
        <v>0</v>
      </c>
      <c r="H25" s="53">
        <v>7</v>
      </c>
      <c r="I25" s="53" t="s">
        <v>109</v>
      </c>
      <c r="J25" s="53">
        <v>0</v>
      </c>
      <c r="K25" s="53">
        <v>10</v>
      </c>
      <c r="L25" s="53" t="s">
        <v>178</v>
      </c>
      <c r="M25" s="53">
        <v>0</v>
      </c>
      <c r="N25" s="53">
        <v>10</v>
      </c>
      <c r="O25" s="53" t="s">
        <v>178</v>
      </c>
      <c r="P25" s="53">
        <v>0</v>
      </c>
      <c r="Q25" s="53">
        <v>10</v>
      </c>
      <c r="R25" s="53" t="s">
        <v>178</v>
      </c>
      <c r="S25" s="53">
        <v>0</v>
      </c>
      <c r="T25" s="53">
        <v>15</v>
      </c>
      <c r="U25" s="53" t="s">
        <v>145</v>
      </c>
      <c r="V25" s="53">
        <v>0</v>
      </c>
      <c r="W25" s="53">
        <v>15</v>
      </c>
      <c r="X25" s="53" t="s">
        <v>145</v>
      </c>
      <c r="Y25" s="53">
        <v>0</v>
      </c>
      <c r="Z25" s="53">
        <v>15</v>
      </c>
      <c r="AA25" s="53" t="s">
        <v>145</v>
      </c>
      <c r="AB25" s="53">
        <f t="shared" si="0"/>
        <v>0</v>
      </c>
      <c r="AC25" s="53">
        <f t="shared" si="1"/>
        <v>6</v>
      </c>
      <c r="AD25" s="55" t="str">
        <f t="shared" si="4"/>
        <v>Magna Opt/Tri</v>
      </c>
    </row>
    <row r="26" spans="1:30">
      <c r="A26" s="53">
        <v>0</v>
      </c>
      <c r="B26" s="53">
        <f t="shared" si="9"/>
        <v>7</v>
      </c>
      <c r="C26" s="53" t="s">
        <v>109</v>
      </c>
      <c r="D26" s="53">
        <v>0</v>
      </c>
      <c r="E26" s="53">
        <v>16</v>
      </c>
      <c r="F26" s="53" t="s">
        <v>110</v>
      </c>
      <c r="G26" s="53">
        <v>0</v>
      </c>
      <c r="H26" s="53">
        <v>16</v>
      </c>
      <c r="I26" s="53" t="s">
        <v>110</v>
      </c>
      <c r="J26" s="53">
        <v>0</v>
      </c>
      <c r="K26" s="53">
        <v>32</v>
      </c>
      <c r="L26" s="53" t="s">
        <v>20</v>
      </c>
      <c r="M26" s="53">
        <v>0</v>
      </c>
      <c r="N26" s="53">
        <v>16</v>
      </c>
      <c r="O26" s="53" t="s">
        <v>20</v>
      </c>
      <c r="P26" s="53">
        <v>0</v>
      </c>
      <c r="Q26" s="53">
        <v>27</v>
      </c>
      <c r="R26" s="53" t="s">
        <v>20</v>
      </c>
      <c r="S26" s="53">
        <v>4</v>
      </c>
      <c r="T26" s="53">
        <v>3</v>
      </c>
      <c r="U26" s="53" t="s">
        <v>4</v>
      </c>
      <c r="V26" s="53">
        <v>4</v>
      </c>
      <c r="W26" s="53">
        <v>3</v>
      </c>
      <c r="X26" s="53" t="s">
        <v>4</v>
      </c>
      <c r="Y26" s="53">
        <v>4</v>
      </c>
      <c r="Z26" s="53">
        <v>3</v>
      </c>
      <c r="AA26" s="53" t="s">
        <v>4</v>
      </c>
      <c r="AB26" s="53">
        <f t="shared" si="0"/>
        <v>0</v>
      </c>
      <c r="AC26" s="53">
        <f t="shared" si="1"/>
        <v>7</v>
      </c>
      <c r="AD26" s="55" t="str">
        <f>IF(LEN(INDEX($A26:$AA26,0,$AE$1+1))&lt;3,"   ",(INDEX($A26:$AA26,0,$AE$1+1)))</f>
        <v>Magna Opt/Tri</v>
      </c>
    </row>
    <row r="27" spans="1:30">
      <c r="A27" s="53">
        <v>0</v>
      </c>
      <c r="B27" s="53">
        <v>16</v>
      </c>
      <c r="C27" s="53" t="s">
        <v>110</v>
      </c>
      <c r="D27" s="53">
        <v>0</v>
      </c>
      <c r="E27" s="53">
        <f>E26+1</f>
        <v>17</v>
      </c>
      <c r="F27" s="53" t="s">
        <v>111</v>
      </c>
      <c r="G27" s="53">
        <v>0</v>
      </c>
      <c r="H27" s="53">
        <f>H26+1</f>
        <v>17</v>
      </c>
      <c r="I27" s="53" t="s">
        <v>111</v>
      </c>
      <c r="J27" s="53">
        <v>0</v>
      </c>
      <c r="K27" s="53">
        <v>33</v>
      </c>
      <c r="L27" s="53" t="s">
        <v>20</v>
      </c>
      <c r="M27" s="53">
        <v>0</v>
      </c>
      <c r="N27" s="53">
        <v>17</v>
      </c>
      <c r="O27" s="53" t="s">
        <v>20</v>
      </c>
      <c r="P27" s="53">
        <v>0</v>
      </c>
      <c r="Q27" s="53">
        <v>28</v>
      </c>
      <c r="R27" s="53" t="s">
        <v>20</v>
      </c>
      <c r="S27" s="53">
        <v>0</v>
      </c>
      <c r="T27" s="53">
        <v>3</v>
      </c>
      <c r="U27" s="53" t="s">
        <v>145</v>
      </c>
      <c r="V27" s="53">
        <v>0</v>
      </c>
      <c r="W27" s="53">
        <v>3</v>
      </c>
      <c r="X27" s="53" t="s">
        <v>145</v>
      </c>
      <c r="Y27" s="53">
        <v>0</v>
      </c>
      <c r="Z27" s="53">
        <v>3</v>
      </c>
      <c r="AA27" s="53" t="s">
        <v>145</v>
      </c>
      <c r="AB27" s="53">
        <f>INDEX($A27:$AA27,0,$AE$1-1)</f>
        <v>0</v>
      </c>
      <c r="AC27" s="53">
        <f>INDEX($A27:$AA27,0,$AE$1)</f>
        <v>16</v>
      </c>
      <c r="AD27" s="55" t="str">
        <f>IF(LEN(INDEX($A27:$AA27,0,$AE$1+1))&lt;3,"   ",(INDEX($A27:$AA27,0,$AE$1+1)))</f>
        <v>1504 / 1506 (10/20)</v>
      </c>
    </row>
    <row r="28" spans="1:30">
      <c r="A28" s="53">
        <v>0</v>
      </c>
      <c r="B28" s="53">
        <f>B27+1</f>
        <v>17</v>
      </c>
      <c r="C28" s="53" t="s">
        <v>111</v>
      </c>
      <c r="D28" s="53">
        <v>0</v>
      </c>
      <c r="E28" s="53">
        <f t="shared" ref="E28:E44" si="10">E27+1</f>
        <v>18</v>
      </c>
      <c r="F28" s="53" t="s">
        <v>112</v>
      </c>
      <c r="G28" s="53">
        <v>0</v>
      </c>
      <c r="H28" s="53">
        <f t="shared" ref="H28:H44" si="11">H27+1</f>
        <v>18</v>
      </c>
      <c r="I28" s="53" t="s">
        <v>112</v>
      </c>
      <c r="J28" s="93">
        <v>0</v>
      </c>
      <c r="K28" s="93">
        <v>43</v>
      </c>
      <c r="L28" s="56" t="s">
        <v>178</v>
      </c>
      <c r="M28" s="93">
        <v>0</v>
      </c>
      <c r="N28" s="93">
        <v>43</v>
      </c>
      <c r="O28" s="56" t="s">
        <v>178</v>
      </c>
      <c r="P28" s="93">
        <v>0</v>
      </c>
      <c r="Q28" s="93">
        <v>43</v>
      </c>
      <c r="R28" s="56" t="s">
        <v>178</v>
      </c>
      <c r="S28" s="94">
        <v>5</v>
      </c>
      <c r="T28" s="94">
        <v>6</v>
      </c>
      <c r="U28" s="95"/>
      <c r="V28" s="94">
        <v>5</v>
      </c>
      <c r="W28" s="94">
        <v>6</v>
      </c>
      <c r="X28" s="95"/>
      <c r="Y28" s="94">
        <v>5</v>
      </c>
      <c r="Z28" s="94">
        <v>6</v>
      </c>
      <c r="AA28" s="94"/>
      <c r="AB28" s="53">
        <f>INDEX($A28:$AA28,0,$AE$1-1)</f>
        <v>0</v>
      </c>
      <c r="AC28" s="53">
        <f>INDEX($A28:$AA28,0,$AE$1)</f>
        <v>17</v>
      </c>
      <c r="AD28" s="55" t="str">
        <f>IF(LEN(INDEX($A28:$AA28,0,$AE$1+1))&lt;3,"   ",(INDEX($A28:$AA28,0,$AE$1+1)))</f>
        <v>1519 / 1520 (10/20)</v>
      </c>
    </row>
    <row r="29" spans="1:30">
      <c r="A29" s="53">
        <v>0</v>
      </c>
      <c r="B29" s="53">
        <f t="shared" ref="B29:B45" si="12">B28+1</f>
        <v>18</v>
      </c>
      <c r="C29" s="53" t="s">
        <v>112</v>
      </c>
      <c r="D29" s="53">
        <v>0</v>
      </c>
      <c r="E29" s="53">
        <f t="shared" si="10"/>
        <v>19</v>
      </c>
      <c r="F29" s="53" t="s">
        <v>113</v>
      </c>
      <c r="G29" s="53">
        <v>0</v>
      </c>
      <c r="H29" s="53">
        <f t="shared" si="11"/>
        <v>19</v>
      </c>
      <c r="I29" s="53" t="s">
        <v>113</v>
      </c>
      <c r="J29" s="93">
        <v>0</v>
      </c>
      <c r="K29" s="93">
        <v>44</v>
      </c>
      <c r="L29" s="53" t="s">
        <v>178</v>
      </c>
      <c r="M29" s="93">
        <v>0</v>
      </c>
      <c r="N29" s="93">
        <v>44</v>
      </c>
      <c r="O29" s="53" t="s">
        <v>178</v>
      </c>
      <c r="P29" s="93">
        <v>0</v>
      </c>
      <c r="Q29" s="93">
        <v>44</v>
      </c>
      <c r="R29" s="53" t="s">
        <v>178</v>
      </c>
      <c r="S29" s="91">
        <v>4</v>
      </c>
      <c r="T29" s="91">
        <v>6</v>
      </c>
      <c r="U29" s="91" t="s">
        <v>135</v>
      </c>
      <c r="V29" s="91">
        <v>4</v>
      </c>
      <c r="W29" s="91">
        <v>6</v>
      </c>
      <c r="X29" s="91" t="s">
        <v>135</v>
      </c>
      <c r="Y29" s="91">
        <v>4</v>
      </c>
      <c r="Z29" s="91">
        <v>6</v>
      </c>
      <c r="AA29" s="91" t="s">
        <v>135</v>
      </c>
      <c r="AB29" s="53">
        <f t="shared" si="0"/>
        <v>0</v>
      </c>
      <c r="AC29" s="53">
        <f t="shared" si="1"/>
        <v>18</v>
      </c>
      <c r="AD29" s="55" t="str">
        <f t="shared" ref="AD29:AD31" si="13">IF(LEN(INDEX($A29:$AA29,0,$AE$1+1))&lt;3,"   ",(INDEX($A29:$AA29,0,$AE$1+1)))</f>
        <v>1518 / 1521 (10/20)</v>
      </c>
    </row>
    <row r="30" spans="1:30">
      <c r="A30" s="53">
        <v>0</v>
      </c>
      <c r="B30" s="53">
        <v>20</v>
      </c>
      <c r="C30" s="53" t="s">
        <v>113</v>
      </c>
      <c r="D30" s="53">
        <v>0</v>
      </c>
      <c r="E30" s="53">
        <f t="shared" si="10"/>
        <v>20</v>
      </c>
      <c r="F30" s="53" t="s">
        <v>150</v>
      </c>
      <c r="G30" s="53">
        <v>0</v>
      </c>
      <c r="H30" s="53">
        <f t="shared" si="11"/>
        <v>20</v>
      </c>
      <c r="I30" s="53" t="s">
        <v>150</v>
      </c>
      <c r="J30" s="93">
        <v>0</v>
      </c>
      <c r="K30" s="93">
        <v>45</v>
      </c>
      <c r="L30" s="53" t="s">
        <v>178</v>
      </c>
      <c r="M30" s="93">
        <v>0</v>
      </c>
      <c r="N30" s="93">
        <v>45</v>
      </c>
      <c r="O30" s="53" t="s">
        <v>178</v>
      </c>
      <c r="P30" s="93">
        <v>0</v>
      </c>
      <c r="Q30" s="93">
        <v>45</v>
      </c>
      <c r="R30" s="53" t="s">
        <v>178</v>
      </c>
      <c r="S30" s="91">
        <v>4</v>
      </c>
      <c r="T30" s="91">
        <v>4</v>
      </c>
      <c r="U30" s="91" t="s">
        <v>165</v>
      </c>
      <c r="V30" s="91">
        <v>4</v>
      </c>
      <c r="W30" s="91">
        <v>4</v>
      </c>
      <c r="X30" s="91" t="s">
        <v>165</v>
      </c>
      <c r="Y30" s="91">
        <v>4</v>
      </c>
      <c r="Z30" s="91">
        <v>4</v>
      </c>
      <c r="AA30" s="91" t="s">
        <v>165</v>
      </c>
      <c r="AB30" s="53">
        <f>INDEX($A30:$AA30,0,$AE$1-1)</f>
        <v>0</v>
      </c>
      <c r="AC30" s="53">
        <f>INDEX($A30:$AA30,0,$AE$1)</f>
        <v>20</v>
      </c>
      <c r="AD30" s="55" t="str">
        <f>IF(LEN(INDEX($A30:$AA30,0,$AE$1+1))&lt;3,"   ",(INDEX($A30:$AA30,0,$AE$1+1)))</f>
        <v>1502 / 1507 (30)</v>
      </c>
    </row>
    <row r="31" spans="1:30">
      <c r="A31" s="53">
        <v>0</v>
      </c>
      <c r="B31" s="53">
        <f t="shared" si="12"/>
        <v>21</v>
      </c>
      <c r="C31" s="53" t="s">
        <v>150</v>
      </c>
      <c r="D31" s="53">
        <v>0</v>
      </c>
      <c r="E31" s="53">
        <f t="shared" si="10"/>
        <v>21</v>
      </c>
      <c r="F31" s="53" t="s">
        <v>151</v>
      </c>
      <c r="G31" s="53">
        <v>0</v>
      </c>
      <c r="H31" s="53">
        <f t="shared" si="11"/>
        <v>21</v>
      </c>
      <c r="I31" s="53" t="s">
        <v>151</v>
      </c>
      <c r="J31" s="93">
        <v>0</v>
      </c>
      <c r="K31" s="93">
        <v>46</v>
      </c>
      <c r="L31" s="53" t="s">
        <v>178</v>
      </c>
      <c r="M31" s="93">
        <v>0</v>
      </c>
      <c r="N31" s="93">
        <v>46</v>
      </c>
      <c r="O31" s="53" t="s">
        <v>178</v>
      </c>
      <c r="P31" s="93">
        <v>0</v>
      </c>
      <c r="Q31" s="93">
        <v>46</v>
      </c>
      <c r="R31" s="53" t="s">
        <v>178</v>
      </c>
      <c r="S31" s="91">
        <v>4</v>
      </c>
      <c r="T31" s="91">
        <v>5</v>
      </c>
      <c r="U31" s="91" t="s">
        <v>164</v>
      </c>
      <c r="V31" s="91">
        <v>4</v>
      </c>
      <c r="W31" s="91">
        <v>5</v>
      </c>
      <c r="X31" s="91" t="s">
        <v>164</v>
      </c>
      <c r="Y31" s="91">
        <v>4</v>
      </c>
      <c r="Z31" s="91">
        <v>5</v>
      </c>
      <c r="AA31" s="91" t="s">
        <v>164</v>
      </c>
      <c r="AB31" s="53">
        <f t="shared" si="0"/>
        <v>0</v>
      </c>
      <c r="AC31" s="53">
        <f t="shared" si="1"/>
        <v>21</v>
      </c>
      <c r="AD31" s="55" t="str">
        <f t="shared" si="13"/>
        <v>1539 (30)</v>
      </c>
    </row>
    <row r="32" spans="1:30">
      <c r="A32" s="53">
        <v>0</v>
      </c>
      <c r="B32" s="53">
        <f t="shared" si="12"/>
        <v>22</v>
      </c>
      <c r="C32" s="53" t="s">
        <v>159</v>
      </c>
      <c r="D32" s="53">
        <v>0</v>
      </c>
      <c r="E32" s="53">
        <f t="shared" si="10"/>
        <v>22</v>
      </c>
      <c r="F32" s="53" t="s">
        <v>116</v>
      </c>
      <c r="G32" s="53">
        <v>0</v>
      </c>
      <c r="H32" s="53">
        <f t="shared" si="11"/>
        <v>22</v>
      </c>
      <c r="I32" s="53" t="s">
        <v>116</v>
      </c>
      <c r="J32" s="53">
        <v>0</v>
      </c>
      <c r="K32" s="53">
        <v>31</v>
      </c>
      <c r="L32" s="53" t="s">
        <v>50</v>
      </c>
      <c r="M32" s="53">
        <v>0</v>
      </c>
      <c r="N32" s="53">
        <v>23</v>
      </c>
      <c r="O32" s="53" t="s">
        <v>50</v>
      </c>
      <c r="P32" s="53">
        <v>0</v>
      </c>
      <c r="Q32" s="53">
        <v>25</v>
      </c>
      <c r="R32" s="53" t="s">
        <v>50</v>
      </c>
      <c r="S32" s="91">
        <v>4</v>
      </c>
      <c r="T32" s="91">
        <v>7</v>
      </c>
      <c r="U32" s="91" t="s">
        <v>119</v>
      </c>
      <c r="V32" s="91">
        <v>4</v>
      </c>
      <c r="W32" s="91">
        <v>7</v>
      </c>
      <c r="X32" s="91" t="s">
        <v>119</v>
      </c>
      <c r="Y32" s="91">
        <v>4</v>
      </c>
      <c r="Z32" s="91">
        <v>7</v>
      </c>
      <c r="AA32" s="91" t="s">
        <v>119</v>
      </c>
      <c r="AB32" s="53">
        <f t="shared" si="0"/>
        <v>0</v>
      </c>
      <c r="AC32" s="53">
        <f t="shared" si="1"/>
        <v>22</v>
      </c>
      <c r="AD32" s="55" t="str">
        <f t="shared" si="4"/>
        <v>1540(30)</v>
      </c>
    </row>
    <row r="33" spans="1:30">
      <c r="A33" s="53">
        <v>0</v>
      </c>
      <c r="B33" s="53">
        <v>24</v>
      </c>
      <c r="C33" s="53" t="s">
        <v>116</v>
      </c>
      <c r="D33" s="53">
        <v>0</v>
      </c>
      <c r="E33" s="53">
        <f t="shared" si="10"/>
        <v>23</v>
      </c>
      <c r="F33" s="53" t="s">
        <v>118</v>
      </c>
      <c r="G33" s="53">
        <v>0</v>
      </c>
      <c r="H33" s="53">
        <f t="shared" si="11"/>
        <v>23</v>
      </c>
      <c r="I33" s="53" t="s">
        <v>118</v>
      </c>
      <c r="J33" s="53">
        <v>0</v>
      </c>
      <c r="K33" s="53">
        <v>18</v>
      </c>
      <c r="L33" s="53" t="s">
        <v>19</v>
      </c>
      <c r="M33" s="53">
        <v>0</v>
      </c>
      <c r="N33" s="53">
        <v>18</v>
      </c>
      <c r="O33" s="53" t="s">
        <v>19</v>
      </c>
      <c r="P33" s="53">
        <v>0</v>
      </c>
      <c r="Q33" s="53">
        <v>16</v>
      </c>
      <c r="R33" s="53" t="s">
        <v>19</v>
      </c>
      <c r="S33" s="91">
        <v>4</v>
      </c>
      <c r="T33" s="91">
        <v>8</v>
      </c>
      <c r="U33" s="91" t="s">
        <v>121</v>
      </c>
      <c r="V33" s="91">
        <v>4</v>
      </c>
      <c r="W33" s="91">
        <v>8</v>
      </c>
      <c r="X33" s="91" t="s">
        <v>121</v>
      </c>
      <c r="Y33" s="91">
        <v>4</v>
      </c>
      <c r="Z33" s="91">
        <v>8</v>
      </c>
      <c r="AA33" s="91" t="s">
        <v>121</v>
      </c>
      <c r="AB33" s="53">
        <f t="shared" si="0"/>
        <v>0</v>
      </c>
      <c r="AC33" s="53">
        <f t="shared" si="1"/>
        <v>24</v>
      </c>
      <c r="AD33" s="55" t="str">
        <f t="shared" si="4"/>
        <v>1501 / 1515 (40)</v>
      </c>
    </row>
    <row r="34" spans="1:30">
      <c r="A34" s="53">
        <v>0</v>
      </c>
      <c r="B34" s="53">
        <f t="shared" si="12"/>
        <v>25</v>
      </c>
      <c r="C34" s="53" t="s">
        <v>118</v>
      </c>
      <c r="D34" s="53">
        <v>0</v>
      </c>
      <c r="E34" s="53">
        <f t="shared" si="10"/>
        <v>24</v>
      </c>
      <c r="F34" s="53" t="s">
        <v>120</v>
      </c>
      <c r="G34" s="53">
        <v>0</v>
      </c>
      <c r="H34" s="53">
        <f t="shared" si="11"/>
        <v>24</v>
      </c>
      <c r="I34" s="53" t="s">
        <v>120</v>
      </c>
      <c r="J34" s="53">
        <v>0</v>
      </c>
      <c r="K34" s="53">
        <v>19</v>
      </c>
      <c r="L34" s="53" t="s">
        <v>19</v>
      </c>
      <c r="M34" s="53">
        <v>0</v>
      </c>
      <c r="N34" s="53">
        <v>19</v>
      </c>
      <c r="O34" s="53" t="s">
        <v>19</v>
      </c>
      <c r="P34" s="53">
        <v>0</v>
      </c>
      <c r="Q34" s="53">
        <f>Q33+1</f>
        <v>17</v>
      </c>
      <c r="R34" s="53" t="s">
        <v>19</v>
      </c>
      <c r="S34" s="94">
        <v>5</v>
      </c>
      <c r="T34" s="94">
        <v>4</v>
      </c>
      <c r="U34" s="94"/>
      <c r="V34" s="94">
        <v>5</v>
      </c>
      <c r="W34" s="94">
        <v>4</v>
      </c>
      <c r="X34" s="94"/>
      <c r="Y34" s="94">
        <v>5</v>
      </c>
      <c r="Z34" s="94">
        <v>4</v>
      </c>
      <c r="AA34" s="94"/>
      <c r="AB34" s="53">
        <f t="shared" si="0"/>
        <v>0</v>
      </c>
      <c r="AC34" s="53">
        <f t="shared" si="1"/>
        <v>25</v>
      </c>
      <c r="AD34" s="55" t="str">
        <f t="shared" si="4"/>
        <v>1525 (40) Offline</v>
      </c>
    </row>
    <row r="35" spans="1:30">
      <c r="A35" s="53">
        <v>0</v>
      </c>
      <c r="B35" s="53">
        <v>27</v>
      </c>
      <c r="C35" s="53" t="s">
        <v>120</v>
      </c>
      <c r="D35" s="53">
        <v>0</v>
      </c>
      <c r="E35" s="53">
        <f t="shared" si="10"/>
        <v>25</v>
      </c>
      <c r="F35" s="53" t="s">
        <v>122</v>
      </c>
      <c r="G35" s="53">
        <v>0</v>
      </c>
      <c r="H35" s="53">
        <f t="shared" si="11"/>
        <v>25</v>
      </c>
      <c r="I35" s="53" t="s">
        <v>122</v>
      </c>
      <c r="J35" s="53">
        <v>0</v>
      </c>
      <c r="K35" s="53">
        <v>20</v>
      </c>
      <c r="L35" s="53" t="s">
        <v>19</v>
      </c>
      <c r="M35" s="53">
        <v>0</v>
      </c>
      <c r="N35" s="53">
        <v>20</v>
      </c>
      <c r="O35" s="53" t="s">
        <v>19</v>
      </c>
      <c r="P35" s="53">
        <v>0</v>
      </c>
      <c r="Q35" s="53">
        <f t="shared" ref="Q35:Q41" si="14">Q34+1</f>
        <v>18</v>
      </c>
      <c r="R35" s="53" t="s">
        <v>19</v>
      </c>
      <c r="S35" s="94">
        <v>5</v>
      </c>
      <c r="T35" s="94">
        <v>5</v>
      </c>
      <c r="U35" s="94"/>
      <c r="V35" s="94">
        <v>5</v>
      </c>
      <c r="W35" s="94">
        <v>5</v>
      </c>
      <c r="X35" s="94"/>
      <c r="Y35" s="94">
        <v>5</v>
      </c>
      <c r="Z35" s="94">
        <v>5</v>
      </c>
      <c r="AA35" s="94"/>
      <c r="AB35" s="53">
        <f t="shared" si="0"/>
        <v>0</v>
      </c>
      <c r="AC35" s="53">
        <f t="shared" si="1"/>
        <v>27</v>
      </c>
      <c r="AD35" s="55" t="str">
        <f t="shared" si="4"/>
        <v>1508 / 1532 / 1509 / 1514</v>
      </c>
    </row>
    <row r="36" spans="1:30">
      <c r="A36" s="53">
        <v>0</v>
      </c>
      <c r="B36" s="53">
        <f t="shared" si="12"/>
        <v>28</v>
      </c>
      <c r="C36" s="53" t="s">
        <v>122</v>
      </c>
      <c r="D36" s="53">
        <v>0</v>
      </c>
      <c r="E36" s="53">
        <f t="shared" si="10"/>
        <v>26</v>
      </c>
      <c r="F36" s="53" t="s">
        <v>122</v>
      </c>
      <c r="G36" s="53">
        <v>0</v>
      </c>
      <c r="H36" s="53">
        <f t="shared" si="11"/>
        <v>26</v>
      </c>
      <c r="I36" s="53" t="s">
        <v>122</v>
      </c>
      <c r="J36" s="53">
        <v>0</v>
      </c>
      <c r="K36" s="53">
        <v>21</v>
      </c>
      <c r="L36" s="53" t="s">
        <v>36</v>
      </c>
      <c r="M36" s="53">
        <v>0</v>
      </c>
      <c r="N36" s="53">
        <v>21</v>
      </c>
      <c r="O36" s="53" t="s">
        <v>36</v>
      </c>
      <c r="P36" s="53">
        <v>0</v>
      </c>
      <c r="Q36" s="53">
        <f t="shared" si="14"/>
        <v>19</v>
      </c>
      <c r="R36" s="53" t="s">
        <v>36</v>
      </c>
      <c r="S36" s="94">
        <v>5</v>
      </c>
      <c r="T36" s="94">
        <v>7</v>
      </c>
      <c r="U36" s="94"/>
      <c r="V36" s="94">
        <v>5</v>
      </c>
      <c r="W36" s="94">
        <v>7</v>
      </c>
      <c r="X36" s="94"/>
      <c r="Y36" s="94">
        <v>5</v>
      </c>
      <c r="Z36" s="94">
        <v>7</v>
      </c>
      <c r="AA36" s="94"/>
      <c r="AB36" s="53">
        <f t="shared" si="0"/>
        <v>0</v>
      </c>
      <c r="AC36" s="53">
        <f t="shared" si="1"/>
        <v>28</v>
      </c>
      <c r="AD36" s="55" t="str">
        <f t="shared" si="4"/>
        <v>1538 / 1541 / 1531 (Offline)</v>
      </c>
    </row>
    <row r="37" spans="1:30">
      <c r="A37" s="53">
        <v>0</v>
      </c>
      <c r="B37" s="53">
        <f t="shared" si="12"/>
        <v>29</v>
      </c>
      <c r="C37" s="53" t="s">
        <v>122</v>
      </c>
      <c r="D37" s="53">
        <v>0</v>
      </c>
      <c r="E37" s="53">
        <f t="shared" si="10"/>
        <v>27</v>
      </c>
      <c r="F37" s="53" t="s">
        <v>123</v>
      </c>
      <c r="G37" s="53">
        <v>0</v>
      </c>
      <c r="H37" s="53">
        <f t="shared" si="11"/>
        <v>27</v>
      </c>
      <c r="I37" s="53" t="s">
        <v>123</v>
      </c>
      <c r="J37" s="53">
        <v>0</v>
      </c>
      <c r="K37" s="53">
        <v>24</v>
      </c>
      <c r="L37" s="53" t="s">
        <v>37</v>
      </c>
      <c r="M37" s="53">
        <v>0</v>
      </c>
      <c r="N37" s="53">
        <f t="shared" ref="N37:N41" si="15">N36+1</f>
        <v>22</v>
      </c>
      <c r="O37" s="53" t="s">
        <v>36</v>
      </c>
      <c r="P37" s="53">
        <v>0</v>
      </c>
      <c r="Q37" s="53">
        <f t="shared" si="14"/>
        <v>20</v>
      </c>
      <c r="R37" s="53" t="s">
        <v>37</v>
      </c>
      <c r="S37" s="94">
        <v>5</v>
      </c>
      <c r="T37" s="94">
        <v>8</v>
      </c>
      <c r="U37" s="94"/>
      <c r="V37" s="94">
        <v>5</v>
      </c>
      <c r="W37" s="94">
        <v>8</v>
      </c>
      <c r="X37" s="94"/>
      <c r="Y37" s="94">
        <v>5</v>
      </c>
      <c r="Z37" s="94">
        <v>8</v>
      </c>
      <c r="AA37" s="94"/>
      <c r="AB37" s="53">
        <f t="shared" si="0"/>
        <v>0</v>
      </c>
      <c r="AC37" s="53">
        <f t="shared" si="1"/>
        <v>29</v>
      </c>
      <c r="AD37" s="55" t="str">
        <f t="shared" si="4"/>
        <v>1538 / 1541 / 1531 (Offline)</v>
      </c>
    </row>
    <row r="38" spans="1:30">
      <c r="A38" s="53">
        <v>0</v>
      </c>
      <c r="B38" s="53">
        <f t="shared" si="12"/>
        <v>30</v>
      </c>
      <c r="C38" s="53" t="s">
        <v>160</v>
      </c>
      <c r="D38" s="53">
        <v>0</v>
      </c>
      <c r="E38" s="53">
        <f t="shared" si="10"/>
        <v>28</v>
      </c>
      <c r="F38" s="53" t="s">
        <v>124</v>
      </c>
      <c r="G38" s="53">
        <v>0</v>
      </c>
      <c r="H38" s="53">
        <f t="shared" si="11"/>
        <v>28</v>
      </c>
      <c r="I38" s="53" t="s">
        <v>124</v>
      </c>
      <c r="J38" s="53">
        <v>0</v>
      </c>
      <c r="K38" s="53">
        <v>25</v>
      </c>
      <c r="L38" s="53" t="s">
        <v>37</v>
      </c>
      <c r="M38" s="53">
        <v>0</v>
      </c>
      <c r="N38" s="53">
        <v>24</v>
      </c>
      <c r="O38" s="53" t="s">
        <v>38</v>
      </c>
      <c r="P38" s="53">
        <v>0</v>
      </c>
      <c r="Q38" s="53">
        <f t="shared" si="14"/>
        <v>21</v>
      </c>
      <c r="R38" s="53" t="s">
        <v>38</v>
      </c>
      <c r="AB38" s="53">
        <f t="shared" si="0"/>
        <v>0</v>
      </c>
      <c r="AC38" s="53">
        <f t="shared" si="1"/>
        <v>30</v>
      </c>
      <c r="AD38" s="55" t="str">
        <f t="shared" si="4"/>
        <v>1510 (80) / 1513 (90)</v>
      </c>
    </row>
    <row r="39" spans="1:30">
      <c r="A39" s="53">
        <v>0</v>
      </c>
      <c r="B39" s="53">
        <f t="shared" si="12"/>
        <v>31</v>
      </c>
      <c r="C39" s="53" t="s">
        <v>124</v>
      </c>
      <c r="D39" s="53">
        <v>0</v>
      </c>
      <c r="E39" s="53">
        <f t="shared" si="10"/>
        <v>29</v>
      </c>
      <c r="F39" s="53" t="s">
        <v>125</v>
      </c>
      <c r="G39" s="53">
        <v>0</v>
      </c>
      <c r="H39" s="53">
        <f t="shared" si="11"/>
        <v>29</v>
      </c>
      <c r="I39" s="53" t="s">
        <v>125</v>
      </c>
      <c r="J39" s="53">
        <v>0</v>
      </c>
      <c r="K39" s="53">
        <v>26</v>
      </c>
      <c r="L39" s="53" t="s">
        <v>37</v>
      </c>
      <c r="M39" s="53">
        <v>0</v>
      </c>
      <c r="N39" s="53">
        <v>25</v>
      </c>
      <c r="O39" s="53" t="s">
        <v>18</v>
      </c>
      <c r="P39" s="53">
        <v>0</v>
      </c>
      <c r="Q39" s="53">
        <f t="shared" si="14"/>
        <v>22</v>
      </c>
      <c r="R39" s="53" t="s">
        <v>18</v>
      </c>
      <c r="AB39" s="53">
        <f t="shared" si="0"/>
        <v>0</v>
      </c>
      <c r="AC39" s="53">
        <f t="shared" si="1"/>
        <v>31</v>
      </c>
      <c r="AD39" s="55" t="str">
        <f t="shared" si="4"/>
        <v>1527(80) Offline</v>
      </c>
    </row>
    <row r="40" spans="1:30">
      <c r="A40" s="53">
        <v>0</v>
      </c>
      <c r="B40" s="53">
        <f t="shared" si="12"/>
        <v>32</v>
      </c>
      <c r="C40" s="53" t="s">
        <v>161</v>
      </c>
      <c r="D40" s="53">
        <v>0</v>
      </c>
      <c r="E40" s="53">
        <f t="shared" si="10"/>
        <v>30</v>
      </c>
      <c r="F40" s="53" t="s">
        <v>126</v>
      </c>
      <c r="G40" s="53">
        <v>0</v>
      </c>
      <c r="H40" s="53">
        <f t="shared" si="11"/>
        <v>30</v>
      </c>
      <c r="I40" s="53" t="s">
        <v>126</v>
      </c>
      <c r="J40" s="53">
        <v>0</v>
      </c>
      <c r="K40" s="53">
        <v>27</v>
      </c>
      <c r="L40" s="53" t="s">
        <v>37</v>
      </c>
      <c r="M40" s="53">
        <v>0</v>
      </c>
      <c r="N40" s="53">
        <v>27</v>
      </c>
      <c r="O40" s="53" t="s">
        <v>39</v>
      </c>
      <c r="P40" s="53">
        <v>0</v>
      </c>
      <c r="Q40" s="53">
        <f t="shared" si="14"/>
        <v>23</v>
      </c>
      <c r="R40" s="53" t="s">
        <v>39</v>
      </c>
      <c r="AB40" s="53">
        <f t="shared" si="0"/>
        <v>0</v>
      </c>
      <c r="AC40" s="53">
        <f t="shared" si="1"/>
        <v>32</v>
      </c>
      <c r="AD40" s="55" t="str">
        <f t="shared" si="4"/>
        <v>1503 (100) / 1511 (110)</v>
      </c>
    </row>
    <row r="41" spans="1:30">
      <c r="A41" s="53">
        <v>0</v>
      </c>
      <c r="B41" s="53">
        <f t="shared" si="12"/>
        <v>33</v>
      </c>
      <c r="C41" s="53" t="s">
        <v>126</v>
      </c>
      <c r="D41" s="53">
        <v>0</v>
      </c>
      <c r="E41" s="53">
        <f t="shared" si="10"/>
        <v>31</v>
      </c>
      <c r="F41" s="53" t="s">
        <v>127</v>
      </c>
      <c r="G41" s="53">
        <v>0</v>
      </c>
      <c r="H41" s="53">
        <f t="shared" si="11"/>
        <v>31</v>
      </c>
      <c r="I41" s="53" t="s">
        <v>127</v>
      </c>
      <c r="J41" s="53">
        <v>0</v>
      </c>
      <c r="K41" s="53">
        <v>28</v>
      </c>
      <c r="L41" s="53" t="s">
        <v>37</v>
      </c>
      <c r="M41" s="53">
        <v>0</v>
      </c>
      <c r="N41" s="53">
        <f t="shared" si="15"/>
        <v>28</v>
      </c>
      <c r="O41" s="53" t="s">
        <v>17</v>
      </c>
      <c r="P41" s="53">
        <v>0</v>
      </c>
      <c r="Q41" s="53">
        <f t="shared" si="14"/>
        <v>24</v>
      </c>
      <c r="R41" s="53" t="s">
        <v>17</v>
      </c>
      <c r="AB41" s="53">
        <f t="shared" si="0"/>
        <v>0</v>
      </c>
      <c r="AC41" s="53">
        <f t="shared" si="1"/>
        <v>33</v>
      </c>
      <c r="AD41" s="55" t="str">
        <f t="shared" si="4"/>
        <v>1530(100) Offline</v>
      </c>
    </row>
    <row r="42" spans="1:30">
      <c r="A42" s="53">
        <v>0</v>
      </c>
      <c r="B42" s="53">
        <f t="shared" si="12"/>
        <v>34</v>
      </c>
      <c r="C42" s="53" t="s">
        <v>127</v>
      </c>
      <c r="D42" s="53">
        <v>0</v>
      </c>
      <c r="E42" s="53">
        <f t="shared" si="10"/>
        <v>32</v>
      </c>
      <c r="F42" s="53" t="s">
        <v>128</v>
      </c>
      <c r="G42" s="53">
        <v>0</v>
      </c>
      <c r="H42" s="53">
        <f t="shared" si="11"/>
        <v>32</v>
      </c>
      <c r="I42" s="53" t="s">
        <v>128</v>
      </c>
      <c r="J42" s="53">
        <v>0</v>
      </c>
      <c r="K42" s="53">
        <v>15</v>
      </c>
      <c r="L42" s="53" t="s">
        <v>37</v>
      </c>
      <c r="M42" s="53">
        <v>0</v>
      </c>
      <c r="N42" s="53">
        <v>15</v>
      </c>
      <c r="O42" s="53" t="s">
        <v>37</v>
      </c>
      <c r="P42" s="53">
        <v>0</v>
      </c>
      <c r="Q42" s="53">
        <v>15</v>
      </c>
      <c r="R42" s="53" t="s">
        <v>37</v>
      </c>
      <c r="AB42" s="53">
        <f t="shared" si="0"/>
        <v>0</v>
      </c>
      <c r="AC42" s="53">
        <f t="shared" si="1"/>
        <v>34</v>
      </c>
      <c r="AD42" s="55" t="str">
        <f t="shared" si="4"/>
        <v>1528(110) Offline</v>
      </c>
    </row>
    <row r="43" spans="1:30">
      <c r="A43" s="53">
        <v>0</v>
      </c>
      <c r="B43" s="53">
        <f t="shared" si="12"/>
        <v>35</v>
      </c>
      <c r="C43" s="53" t="s">
        <v>128</v>
      </c>
      <c r="D43" s="53">
        <v>0</v>
      </c>
      <c r="E43" s="53">
        <f t="shared" si="10"/>
        <v>33</v>
      </c>
      <c r="F43" s="53" t="s">
        <v>129</v>
      </c>
      <c r="G43" s="53">
        <v>0</v>
      </c>
      <c r="H43" s="53">
        <f t="shared" si="11"/>
        <v>33</v>
      </c>
      <c r="I43" s="53" t="s">
        <v>129</v>
      </c>
      <c r="J43" s="53">
        <v>4</v>
      </c>
      <c r="K43" s="53">
        <v>3</v>
      </c>
      <c r="L43" s="53" t="s">
        <v>3</v>
      </c>
      <c r="M43" s="53">
        <v>4</v>
      </c>
      <c r="N43" s="53">
        <v>3</v>
      </c>
      <c r="O43" s="53" t="s">
        <v>3</v>
      </c>
      <c r="P43" s="53">
        <v>4</v>
      </c>
      <c r="Q43" s="53">
        <v>3</v>
      </c>
      <c r="R43" s="53" t="s">
        <v>3</v>
      </c>
      <c r="AB43" s="53">
        <f t="shared" si="0"/>
        <v>0</v>
      </c>
      <c r="AC43" s="53">
        <f t="shared" si="1"/>
        <v>35</v>
      </c>
      <c r="AD43" s="55" t="str">
        <f t="shared" si="4"/>
        <v>10R Inspect</v>
      </c>
    </row>
    <row r="44" spans="1:30">
      <c r="A44" s="53">
        <v>0</v>
      </c>
      <c r="B44" s="53">
        <f t="shared" si="12"/>
        <v>36</v>
      </c>
      <c r="C44" s="53" t="s">
        <v>129</v>
      </c>
      <c r="D44" s="53">
        <v>0</v>
      </c>
      <c r="E44" s="53">
        <f t="shared" si="10"/>
        <v>34</v>
      </c>
      <c r="F44" s="53" t="s">
        <v>130</v>
      </c>
      <c r="G44" s="53">
        <v>0</v>
      </c>
      <c r="H44" s="53">
        <f t="shared" si="11"/>
        <v>34</v>
      </c>
      <c r="I44" s="53" t="s">
        <v>130</v>
      </c>
      <c r="J44" s="53">
        <v>4</v>
      </c>
      <c r="K44" s="53">
        <v>16</v>
      </c>
      <c r="L44" s="53" t="s">
        <v>5</v>
      </c>
      <c r="M44" s="53">
        <v>4</v>
      </c>
      <c r="N44" s="53">
        <v>16</v>
      </c>
      <c r="O44" s="53" t="s">
        <v>5</v>
      </c>
      <c r="P44" s="53">
        <v>4</v>
      </c>
      <c r="Q44" s="53">
        <v>16</v>
      </c>
      <c r="R44" s="53" t="s">
        <v>5</v>
      </c>
      <c r="AB44" s="53">
        <f t="shared" si="0"/>
        <v>0</v>
      </c>
      <c r="AC44" s="53">
        <f t="shared" si="1"/>
        <v>36</v>
      </c>
      <c r="AD44" s="55" t="str">
        <f t="shared" si="4"/>
        <v>10R Final Pack</v>
      </c>
    </row>
    <row r="45" spans="1:30">
      <c r="A45" s="53">
        <v>0</v>
      </c>
      <c r="B45" s="53">
        <f t="shared" si="12"/>
        <v>37</v>
      </c>
      <c r="C45" s="53" t="s">
        <v>130</v>
      </c>
      <c r="D45" s="53">
        <v>0</v>
      </c>
      <c r="E45" s="53">
        <v>11</v>
      </c>
      <c r="F45" s="53" t="s">
        <v>131</v>
      </c>
      <c r="G45" s="53">
        <v>0</v>
      </c>
      <c r="H45" s="53">
        <v>11</v>
      </c>
      <c r="I45" s="53" t="s">
        <v>131</v>
      </c>
      <c r="J45" s="53">
        <v>0</v>
      </c>
      <c r="K45" s="53">
        <v>3</v>
      </c>
      <c r="L45" s="56" t="s">
        <v>4</v>
      </c>
      <c r="M45" s="53">
        <v>0</v>
      </c>
      <c r="N45" s="53">
        <v>3</v>
      </c>
      <c r="O45" s="56" t="s">
        <v>4</v>
      </c>
      <c r="P45" s="53">
        <v>0</v>
      </c>
      <c r="Q45" s="53">
        <v>3</v>
      </c>
      <c r="R45" s="56" t="s">
        <v>4</v>
      </c>
      <c r="AB45" s="53">
        <f t="shared" si="0"/>
        <v>0</v>
      </c>
      <c r="AC45" s="53">
        <f t="shared" si="1"/>
        <v>37</v>
      </c>
      <c r="AD45" s="55" t="str">
        <f t="shared" si="4"/>
        <v>10R CMM</v>
      </c>
    </row>
    <row r="46" spans="1:30">
      <c r="A46" s="53">
        <v>0</v>
      </c>
      <c r="B46" s="53">
        <v>11</v>
      </c>
      <c r="C46" s="53" t="s">
        <v>131</v>
      </c>
      <c r="D46" s="53">
        <v>0</v>
      </c>
      <c r="E46" s="53">
        <v>12</v>
      </c>
      <c r="F46" s="53" t="s">
        <v>132</v>
      </c>
      <c r="G46" s="53">
        <v>0</v>
      </c>
      <c r="H46" s="53">
        <v>12</v>
      </c>
      <c r="I46" s="53" t="s">
        <v>132</v>
      </c>
      <c r="J46" s="53">
        <v>0</v>
      </c>
      <c r="K46" s="53">
        <v>22</v>
      </c>
      <c r="L46" s="53" t="s">
        <v>36</v>
      </c>
      <c r="M46" s="91">
        <v>0</v>
      </c>
      <c r="N46" s="91">
        <v>13</v>
      </c>
      <c r="O46" s="53" t="s">
        <v>178</v>
      </c>
      <c r="P46" s="91">
        <v>0</v>
      </c>
      <c r="Q46" s="91">
        <v>13</v>
      </c>
      <c r="R46" s="53" t="s">
        <v>178</v>
      </c>
      <c r="AB46" s="53">
        <f t="shared" si="0"/>
        <v>0</v>
      </c>
      <c r="AC46" s="53">
        <f t="shared" si="1"/>
        <v>11</v>
      </c>
      <c r="AD46" s="55" t="str">
        <f t="shared" si="4"/>
        <v>Magna Pack Opt</v>
      </c>
    </row>
    <row r="47" spans="1:30">
      <c r="A47" s="53">
        <v>0</v>
      </c>
      <c r="B47" s="53">
        <v>12</v>
      </c>
      <c r="C47" s="53" t="s">
        <v>132</v>
      </c>
      <c r="D47" s="53">
        <v>0</v>
      </c>
      <c r="E47" s="53">
        <v>13</v>
      </c>
      <c r="F47" s="53" t="s">
        <v>133</v>
      </c>
      <c r="G47" s="53">
        <v>0</v>
      </c>
      <c r="H47" s="53">
        <v>13</v>
      </c>
      <c r="I47" s="53" t="s">
        <v>133</v>
      </c>
      <c r="J47" s="53">
        <v>0</v>
      </c>
      <c r="K47" s="53">
        <v>29</v>
      </c>
      <c r="L47" s="53" t="s">
        <v>37</v>
      </c>
      <c r="M47" s="91">
        <v>0</v>
      </c>
      <c r="N47" s="91">
        <v>14</v>
      </c>
      <c r="O47" s="53" t="s">
        <v>178</v>
      </c>
      <c r="P47" s="91">
        <v>0</v>
      </c>
      <c r="Q47" s="91">
        <v>14</v>
      </c>
      <c r="R47" s="53" t="s">
        <v>178</v>
      </c>
      <c r="AB47" s="53">
        <f t="shared" si="0"/>
        <v>0</v>
      </c>
      <c r="AC47" s="53">
        <f t="shared" si="1"/>
        <v>12</v>
      </c>
      <c r="AD47" s="55" t="str">
        <f t="shared" si="4"/>
        <v>Magna Pack Trilobe</v>
      </c>
    </row>
    <row r="48" spans="1:30">
      <c r="A48" s="53">
        <v>0</v>
      </c>
      <c r="B48" s="53">
        <v>13</v>
      </c>
      <c r="C48" s="53" t="s">
        <v>133</v>
      </c>
      <c r="D48" s="92">
        <v>0</v>
      </c>
      <c r="E48" s="92">
        <v>51</v>
      </c>
      <c r="F48" s="92" t="s">
        <v>134</v>
      </c>
      <c r="G48" s="92">
        <v>0</v>
      </c>
      <c r="H48" s="92">
        <v>51</v>
      </c>
      <c r="I48" s="92" t="s">
        <v>134</v>
      </c>
      <c r="J48" s="53">
        <v>0</v>
      </c>
      <c r="K48" s="53">
        <v>30</v>
      </c>
      <c r="L48" s="53" t="s">
        <v>37</v>
      </c>
      <c r="M48" s="94">
        <v>0</v>
      </c>
      <c r="N48" s="94">
        <v>29</v>
      </c>
      <c r="O48" s="94" t="s">
        <v>17</v>
      </c>
      <c r="P48" s="94"/>
      <c r="Q48" s="94"/>
      <c r="R48" s="94"/>
      <c r="AB48" s="53">
        <f t="shared" si="0"/>
        <v>0</v>
      </c>
      <c r="AC48" s="53">
        <f t="shared" si="1"/>
        <v>13</v>
      </c>
      <c r="AD48" s="55" t="str">
        <f t="shared" si="4"/>
        <v>Oil &amp; Pack Magna</v>
      </c>
    </row>
    <row r="49" spans="1:30">
      <c r="A49" s="92">
        <v>0</v>
      </c>
      <c r="B49" s="92">
        <v>14</v>
      </c>
      <c r="C49" s="92" t="s">
        <v>134</v>
      </c>
      <c r="D49" s="93">
        <v>0</v>
      </c>
      <c r="E49" s="93">
        <v>43</v>
      </c>
      <c r="F49" s="93" t="s">
        <v>135</v>
      </c>
      <c r="G49" s="93">
        <v>0</v>
      </c>
      <c r="H49" s="93">
        <v>43</v>
      </c>
      <c r="I49" s="93" t="s">
        <v>135</v>
      </c>
      <c r="J49" s="53">
        <v>0</v>
      </c>
      <c r="K49" s="53">
        <v>36</v>
      </c>
      <c r="L49" s="53" t="s">
        <v>167</v>
      </c>
      <c r="M49" s="94">
        <v>0</v>
      </c>
      <c r="N49" s="94">
        <v>26</v>
      </c>
      <c r="O49" s="94" t="s">
        <v>18</v>
      </c>
      <c r="P49" s="94"/>
      <c r="Q49" s="94"/>
      <c r="R49" s="94"/>
      <c r="AB49" s="53">
        <f t="shared" si="0"/>
        <v>0</v>
      </c>
      <c r="AC49" s="53">
        <f t="shared" si="1"/>
        <v>14</v>
      </c>
      <c r="AD49" s="55" t="str">
        <f t="shared" si="4"/>
        <v>Tesma Slurry</v>
      </c>
    </row>
    <row r="50" spans="1:30">
      <c r="A50" s="93">
        <v>0</v>
      </c>
      <c r="B50" s="93">
        <v>43</v>
      </c>
      <c r="C50" s="93" t="s">
        <v>135</v>
      </c>
      <c r="D50" s="53">
        <v>0</v>
      </c>
      <c r="E50" s="53">
        <v>38</v>
      </c>
      <c r="F50" s="53" t="s">
        <v>136</v>
      </c>
      <c r="G50" s="53">
        <v>0</v>
      </c>
      <c r="H50" s="53">
        <v>38</v>
      </c>
      <c r="I50" s="53" t="s">
        <v>136</v>
      </c>
      <c r="J50" s="53">
        <v>0</v>
      </c>
      <c r="K50" s="53">
        <v>35</v>
      </c>
      <c r="L50" s="53" t="s">
        <v>167</v>
      </c>
      <c r="AB50" s="53">
        <f t="shared" si="0"/>
        <v>0</v>
      </c>
      <c r="AC50" s="53">
        <f t="shared" si="1"/>
        <v>43</v>
      </c>
      <c r="AD50" s="55" t="str">
        <f t="shared" si="4"/>
        <v>Tesma Wash/Inspect</v>
      </c>
    </row>
    <row r="51" spans="1:30">
      <c r="A51" s="53">
        <v>0</v>
      </c>
      <c r="B51" s="53">
        <v>38</v>
      </c>
      <c r="C51" s="53" t="s">
        <v>136</v>
      </c>
      <c r="D51" s="53">
        <v>0</v>
      </c>
      <c r="E51" s="53">
        <v>39</v>
      </c>
      <c r="F51" s="53" t="s">
        <v>136</v>
      </c>
      <c r="G51" s="53">
        <v>0</v>
      </c>
      <c r="H51" s="53">
        <v>39</v>
      </c>
      <c r="I51" s="53" t="s">
        <v>136</v>
      </c>
      <c r="J51" s="91">
        <v>0</v>
      </c>
      <c r="K51" s="91">
        <v>13</v>
      </c>
      <c r="L51" s="53" t="s">
        <v>178</v>
      </c>
      <c r="AB51" s="53">
        <f t="shared" si="0"/>
        <v>0</v>
      </c>
      <c r="AC51" s="53">
        <f t="shared" si="1"/>
        <v>38</v>
      </c>
      <c r="AD51" s="55" t="str">
        <f t="shared" si="4"/>
        <v>10R Certify</v>
      </c>
    </row>
    <row r="52" spans="1:30">
      <c r="A52" s="53">
        <v>0</v>
      </c>
      <c r="B52" s="53">
        <v>39</v>
      </c>
      <c r="C52" s="53" t="s">
        <v>136</v>
      </c>
      <c r="D52" s="53">
        <v>0</v>
      </c>
      <c r="E52" s="53">
        <v>40</v>
      </c>
      <c r="F52" s="53" t="s">
        <v>137</v>
      </c>
      <c r="G52" s="53">
        <v>0</v>
      </c>
      <c r="H52" s="53">
        <v>40</v>
      </c>
      <c r="I52" s="53" t="s">
        <v>137</v>
      </c>
      <c r="J52" s="91">
        <v>0</v>
      </c>
      <c r="K52" s="91">
        <v>14</v>
      </c>
      <c r="L52" s="53" t="s">
        <v>178</v>
      </c>
      <c r="AB52" s="53">
        <f t="shared" si="0"/>
        <v>0</v>
      </c>
      <c r="AC52" s="53">
        <f t="shared" si="1"/>
        <v>39</v>
      </c>
      <c r="AD52" s="55" t="str">
        <f t="shared" si="4"/>
        <v>10R Certify</v>
      </c>
    </row>
    <row r="53" spans="1:30">
      <c r="A53" s="53">
        <v>0</v>
      </c>
      <c r="B53" s="53">
        <v>40</v>
      </c>
      <c r="C53" s="53" t="s">
        <v>137</v>
      </c>
      <c r="D53" s="53">
        <v>0</v>
      </c>
      <c r="E53" s="53">
        <v>41</v>
      </c>
      <c r="F53" s="53" t="s">
        <v>138</v>
      </c>
      <c r="G53" s="53">
        <v>0</v>
      </c>
      <c r="H53" s="53">
        <v>41</v>
      </c>
      <c r="I53" s="53" t="s">
        <v>138</v>
      </c>
      <c r="J53" s="94"/>
      <c r="K53" s="94"/>
      <c r="AB53" s="53">
        <f t="shared" si="0"/>
        <v>0</v>
      </c>
      <c r="AC53" s="53">
        <f t="shared" si="1"/>
        <v>40</v>
      </c>
      <c r="AD53" s="55" t="str">
        <f t="shared" si="4"/>
        <v>Mag Helper</v>
      </c>
    </row>
    <row r="54" spans="1:30">
      <c r="A54" s="53">
        <v>0</v>
      </c>
      <c r="B54" s="53">
        <v>41</v>
      </c>
      <c r="C54" s="53" t="s">
        <v>138</v>
      </c>
      <c r="D54" s="53">
        <v>0</v>
      </c>
      <c r="E54" s="53">
        <v>15</v>
      </c>
      <c r="F54" s="53" t="s">
        <v>144</v>
      </c>
      <c r="G54" s="53">
        <v>0</v>
      </c>
      <c r="H54" s="53">
        <v>15</v>
      </c>
      <c r="I54" s="53" t="s">
        <v>144</v>
      </c>
      <c r="J54" s="94"/>
      <c r="K54" s="94"/>
      <c r="AB54" s="53">
        <f t="shared" si="0"/>
        <v>0</v>
      </c>
      <c r="AC54" s="53">
        <f t="shared" si="1"/>
        <v>41</v>
      </c>
      <c r="AD54" s="55" t="str">
        <f t="shared" si="4"/>
        <v>Magna GP12</v>
      </c>
    </row>
    <row r="55" spans="1:30">
      <c r="A55" s="53">
        <v>0</v>
      </c>
      <c r="B55" s="53">
        <v>15</v>
      </c>
      <c r="C55" s="53" t="s">
        <v>144</v>
      </c>
      <c r="D55" s="53">
        <v>4</v>
      </c>
      <c r="E55" s="53">
        <v>3</v>
      </c>
      <c r="F55" s="53" t="s">
        <v>3</v>
      </c>
      <c r="G55" s="53">
        <v>4</v>
      </c>
      <c r="H55" s="53">
        <v>3</v>
      </c>
      <c r="I55" s="53" t="s">
        <v>3</v>
      </c>
      <c r="AB55" s="53">
        <f t="shared" si="0"/>
        <v>0</v>
      </c>
      <c r="AC55" s="53">
        <f t="shared" si="1"/>
        <v>15</v>
      </c>
      <c r="AD55" s="55" t="str">
        <f t="shared" si="4"/>
        <v>10R</v>
      </c>
    </row>
    <row r="56" spans="1:30">
      <c r="A56" s="53">
        <v>4</v>
      </c>
      <c r="B56" s="53">
        <v>3</v>
      </c>
      <c r="C56" s="53" t="s">
        <v>3</v>
      </c>
      <c r="D56" s="53">
        <v>4</v>
      </c>
      <c r="E56" s="53">
        <v>16</v>
      </c>
      <c r="F56" s="53" t="s">
        <v>5</v>
      </c>
      <c r="G56" s="53">
        <v>4</v>
      </c>
      <c r="H56" s="53">
        <v>16</v>
      </c>
      <c r="I56" s="53" t="s">
        <v>5</v>
      </c>
      <c r="AB56" s="53">
        <f t="shared" si="0"/>
        <v>4</v>
      </c>
      <c r="AC56" s="53">
        <f t="shared" si="1"/>
        <v>3</v>
      </c>
      <c r="AD56" s="55" t="str">
        <f t="shared" si="4"/>
        <v>Presses</v>
      </c>
    </row>
    <row r="57" spans="1:30">
      <c r="A57" s="53">
        <v>0</v>
      </c>
      <c r="B57" s="53">
        <v>8</v>
      </c>
      <c r="C57" s="53" t="s">
        <v>155</v>
      </c>
      <c r="D57" s="53">
        <v>0</v>
      </c>
      <c r="E57" s="53">
        <v>3</v>
      </c>
      <c r="F57" s="53" t="s">
        <v>4</v>
      </c>
      <c r="G57" s="53">
        <v>0</v>
      </c>
      <c r="H57" s="53">
        <v>3</v>
      </c>
      <c r="I57" s="53" t="s">
        <v>4</v>
      </c>
      <c r="AB57" s="53">
        <f t="shared" si="0"/>
        <v>0</v>
      </c>
      <c r="AC57" s="53">
        <f t="shared" si="1"/>
        <v>8</v>
      </c>
      <c r="AD57" s="55" t="str">
        <f t="shared" si="4"/>
        <v>625 Machine</v>
      </c>
    </row>
    <row r="58" spans="1:30">
      <c r="A58" s="53">
        <v>0</v>
      </c>
      <c r="B58" s="53">
        <v>3</v>
      </c>
      <c r="C58" s="53" t="s">
        <v>4</v>
      </c>
      <c r="AB58" s="53">
        <f t="shared" si="0"/>
        <v>0</v>
      </c>
      <c r="AC58" s="53">
        <f t="shared" si="1"/>
        <v>3</v>
      </c>
      <c r="AD58" s="55" t="str">
        <f t="shared" si="4"/>
        <v>Finishing</v>
      </c>
    </row>
    <row r="59" spans="1:30">
      <c r="A59" s="53">
        <v>4</v>
      </c>
      <c r="B59" s="53">
        <v>16</v>
      </c>
      <c r="C59" s="53" t="s">
        <v>5</v>
      </c>
      <c r="AB59" s="53">
        <f t="shared" si="0"/>
        <v>4</v>
      </c>
      <c r="AC59" s="53">
        <f t="shared" si="1"/>
        <v>16</v>
      </c>
      <c r="AD59" s="53" t="str">
        <f t="shared" si="4"/>
        <v>Furnaces</v>
      </c>
    </row>
    <row r="60" spans="1:30">
      <c r="A60" s="53">
        <v>0</v>
      </c>
      <c r="B60" s="53">
        <v>19</v>
      </c>
      <c r="C60" s="53" t="s">
        <v>156</v>
      </c>
      <c r="AB60" s="53">
        <f t="shared" si="0"/>
        <v>0</v>
      </c>
      <c r="AC60" s="53">
        <f t="shared" si="1"/>
        <v>19</v>
      </c>
      <c r="AD60" s="53" t="str">
        <f t="shared" si="4"/>
        <v>1522 / 1523 (10/20)</v>
      </c>
    </row>
    <row r="61" spans="1:30">
      <c r="A61" s="53">
        <v>0</v>
      </c>
      <c r="B61" s="53">
        <v>23</v>
      </c>
      <c r="C61" s="53" t="s">
        <v>157</v>
      </c>
      <c r="AB61" s="53">
        <f t="shared" si="0"/>
        <v>0</v>
      </c>
      <c r="AC61" s="53">
        <f t="shared" si="1"/>
        <v>23</v>
      </c>
      <c r="AD61" s="53" t="str">
        <f t="shared" si="4"/>
        <v>1543 (Op30)</v>
      </c>
    </row>
    <row r="62" spans="1:30">
      <c r="A62" s="53">
        <v>0</v>
      </c>
      <c r="B62" s="53">
        <v>26</v>
      </c>
      <c r="C62" s="53" t="s">
        <v>158</v>
      </c>
      <c r="AB62" s="53">
        <f t="shared" si="0"/>
        <v>0</v>
      </c>
      <c r="AC62" s="53">
        <f t="shared" si="1"/>
        <v>26</v>
      </c>
      <c r="AD62" s="53" t="str">
        <f t="shared" si="4"/>
        <v>1524 (Op40)</v>
      </c>
    </row>
    <row r="63" spans="1:30">
      <c r="AB63" s="53">
        <f t="shared" si="0"/>
        <v>0</v>
      </c>
      <c r="AC63" s="53">
        <f t="shared" si="1"/>
        <v>0</v>
      </c>
      <c r="AD63" s="53">
        <f t="shared" si="4"/>
        <v>0</v>
      </c>
    </row>
    <row r="64" spans="1:30">
      <c r="AB64" s="53">
        <f t="shared" si="0"/>
        <v>0</v>
      </c>
      <c r="AC64" s="53">
        <f t="shared" si="1"/>
        <v>0</v>
      </c>
      <c r="AD64" s="53">
        <f t="shared" si="4"/>
        <v>0</v>
      </c>
    </row>
    <row r="65" spans="28:30">
      <c r="AB65" s="53">
        <f t="shared" ref="AB65:AB74" si="16">INDEX($A65:$AA65,0,$AE$1-1)</f>
        <v>0</v>
      </c>
      <c r="AC65" s="53">
        <f t="shared" si="1"/>
        <v>0</v>
      </c>
      <c r="AD65" s="53">
        <f t="shared" si="4"/>
        <v>0</v>
      </c>
    </row>
    <row r="66" spans="28:30">
      <c r="AB66" s="53">
        <f t="shared" si="16"/>
        <v>0</v>
      </c>
      <c r="AC66" s="53">
        <f t="shared" ref="AC66:AC74" si="17">INDEX($A66:$AA66,0,$AE$1)</f>
        <v>0</v>
      </c>
      <c r="AD66" s="53">
        <f t="shared" si="4"/>
        <v>0</v>
      </c>
    </row>
    <row r="67" spans="28:30">
      <c r="AB67" s="53">
        <f t="shared" si="16"/>
        <v>0</v>
      </c>
      <c r="AC67" s="53">
        <f t="shared" si="17"/>
        <v>0</v>
      </c>
      <c r="AD67" s="53">
        <f t="shared" ref="AD67:AD74" si="18">INDEX($A67:$AA67,0,$AE$1+1)</f>
        <v>0</v>
      </c>
    </row>
    <row r="68" spans="28:30">
      <c r="AB68" s="53">
        <f t="shared" si="16"/>
        <v>0</v>
      </c>
      <c r="AC68" s="53">
        <f t="shared" si="17"/>
        <v>0</v>
      </c>
      <c r="AD68" s="53">
        <f t="shared" si="18"/>
        <v>0</v>
      </c>
    </row>
    <row r="69" spans="28:30">
      <c r="AB69" s="53">
        <f t="shared" si="16"/>
        <v>0</v>
      </c>
      <c r="AC69" s="53">
        <f t="shared" si="17"/>
        <v>0</v>
      </c>
      <c r="AD69" s="53">
        <f t="shared" si="18"/>
        <v>0</v>
      </c>
    </row>
    <row r="70" spans="28:30">
      <c r="AB70" s="53">
        <f t="shared" si="16"/>
        <v>0</v>
      </c>
      <c r="AC70" s="53">
        <f t="shared" si="17"/>
        <v>0</v>
      </c>
      <c r="AD70" s="53">
        <f t="shared" si="18"/>
        <v>0</v>
      </c>
    </row>
    <row r="71" spans="28:30">
      <c r="AB71" s="53">
        <f t="shared" si="16"/>
        <v>0</v>
      </c>
      <c r="AC71" s="53">
        <f t="shared" si="17"/>
        <v>0</v>
      </c>
      <c r="AD71" s="53">
        <f t="shared" si="18"/>
        <v>0</v>
      </c>
    </row>
    <row r="72" spans="28:30">
      <c r="AB72" s="53">
        <f t="shared" si="16"/>
        <v>0</v>
      </c>
      <c r="AC72" s="53">
        <f t="shared" si="17"/>
        <v>0</v>
      </c>
      <c r="AD72" s="53">
        <f t="shared" si="18"/>
        <v>0</v>
      </c>
    </row>
    <row r="73" spans="28:30">
      <c r="AB73" s="53">
        <f t="shared" si="16"/>
        <v>0</v>
      </c>
      <c r="AC73" s="53">
        <f t="shared" si="17"/>
        <v>0</v>
      </c>
      <c r="AD73" s="53">
        <f t="shared" si="18"/>
        <v>0</v>
      </c>
    </row>
    <row r="74" spans="28:30">
      <c r="AB74" s="53">
        <f t="shared" si="16"/>
        <v>0</v>
      </c>
      <c r="AC74" s="53">
        <f t="shared" si="17"/>
        <v>0</v>
      </c>
      <c r="AD74" s="53">
        <f t="shared" si="1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L55"/>
  <sheetViews>
    <sheetView workbookViewId="0">
      <selection activeCell="L50" sqref="J2:L50"/>
    </sheetView>
  </sheetViews>
  <sheetFormatPr defaultRowHeight="13.2"/>
  <sheetData>
    <row r="1" spans="4:12">
      <c r="D1">
        <v>1</v>
      </c>
      <c r="E1">
        <v>0</v>
      </c>
      <c r="F1" t="s">
        <v>71</v>
      </c>
      <c r="G1">
        <v>1</v>
      </c>
      <c r="H1">
        <v>0</v>
      </c>
      <c r="I1" t="s">
        <v>10</v>
      </c>
      <c r="J1">
        <v>1</v>
      </c>
      <c r="K1">
        <v>0</v>
      </c>
      <c r="L1" t="s">
        <v>72</v>
      </c>
    </row>
    <row r="2" spans="4:12">
      <c r="D2">
        <v>0</v>
      </c>
      <c r="E2">
        <v>3</v>
      </c>
      <c r="F2" t="s">
        <v>4</v>
      </c>
      <c r="G2">
        <v>0</v>
      </c>
      <c r="H2">
        <v>3</v>
      </c>
      <c r="I2" t="s">
        <v>4</v>
      </c>
      <c r="J2">
        <v>0</v>
      </c>
      <c r="K2">
        <v>3</v>
      </c>
      <c r="L2" t="s">
        <v>4</v>
      </c>
    </row>
    <row r="3" spans="4:12">
      <c r="D3">
        <v>0</v>
      </c>
      <c r="E3">
        <v>4</v>
      </c>
      <c r="F3" t="s">
        <v>24</v>
      </c>
      <c r="G3">
        <v>0</v>
      </c>
      <c r="H3">
        <v>4</v>
      </c>
      <c r="I3" t="s">
        <v>24</v>
      </c>
      <c r="J3">
        <v>0</v>
      </c>
      <c r="K3">
        <v>4</v>
      </c>
      <c r="L3" t="s">
        <v>24</v>
      </c>
    </row>
    <row r="4" spans="4:12">
      <c r="D4">
        <v>0</v>
      </c>
      <c r="E4">
        <v>5</v>
      </c>
      <c r="F4" t="s">
        <v>23</v>
      </c>
      <c r="G4">
        <v>0</v>
      </c>
      <c r="H4">
        <v>5</v>
      </c>
      <c r="I4" t="s">
        <v>23</v>
      </c>
      <c r="J4">
        <v>0</v>
      </c>
      <c r="K4">
        <v>5</v>
      </c>
      <c r="L4" t="s">
        <v>23</v>
      </c>
    </row>
    <row r="5" spans="4:12">
      <c r="D5">
        <v>0</v>
      </c>
      <c r="E5">
        <v>6</v>
      </c>
      <c r="F5" t="s">
        <v>22</v>
      </c>
      <c r="G5">
        <v>0</v>
      </c>
      <c r="H5">
        <v>6</v>
      </c>
      <c r="I5" t="s">
        <v>22</v>
      </c>
      <c r="J5">
        <v>0</v>
      </c>
      <c r="K5">
        <v>6</v>
      </c>
      <c r="L5" t="s">
        <v>22</v>
      </c>
    </row>
    <row r="6" spans="4:12">
      <c r="D6">
        <v>0</v>
      </c>
      <c r="E6">
        <v>7</v>
      </c>
      <c r="F6" t="s">
        <v>48</v>
      </c>
      <c r="G6">
        <v>0</v>
      </c>
      <c r="H6">
        <v>7</v>
      </c>
      <c r="I6" t="s">
        <v>48</v>
      </c>
      <c r="J6">
        <v>0</v>
      </c>
      <c r="K6">
        <v>7</v>
      </c>
      <c r="L6" t="s">
        <v>48</v>
      </c>
    </row>
    <row r="7" spans="4:12">
      <c r="D7">
        <v>0</v>
      </c>
      <c r="E7">
        <v>8</v>
      </c>
      <c r="F7" t="s">
        <v>49</v>
      </c>
      <c r="G7">
        <v>0</v>
      </c>
      <c r="H7">
        <v>8</v>
      </c>
      <c r="I7" t="s">
        <v>49</v>
      </c>
      <c r="J7">
        <v>0</v>
      </c>
      <c r="K7">
        <v>8</v>
      </c>
      <c r="L7" t="s">
        <v>49</v>
      </c>
    </row>
    <row r="8" spans="4:12">
      <c r="D8">
        <v>0</v>
      </c>
      <c r="E8">
        <v>9</v>
      </c>
      <c r="F8" t="s">
        <v>21</v>
      </c>
      <c r="G8">
        <v>0</v>
      </c>
      <c r="H8">
        <v>9</v>
      </c>
      <c r="I8" t="s">
        <v>21</v>
      </c>
      <c r="J8">
        <v>0</v>
      </c>
      <c r="K8">
        <v>9</v>
      </c>
      <c r="L8" t="s">
        <v>21</v>
      </c>
    </row>
    <row r="9" spans="4:12">
      <c r="D9">
        <v>0</v>
      </c>
      <c r="E9">
        <v>10</v>
      </c>
      <c r="F9" t="s">
        <v>35</v>
      </c>
      <c r="G9">
        <v>0</v>
      </c>
      <c r="H9">
        <v>10</v>
      </c>
      <c r="I9" t="s">
        <v>35</v>
      </c>
      <c r="J9">
        <v>0</v>
      </c>
      <c r="K9">
        <v>10</v>
      </c>
      <c r="L9" t="s">
        <v>35</v>
      </c>
    </row>
    <row r="10" spans="4:12">
      <c r="D10">
        <v>0</v>
      </c>
      <c r="E10">
        <v>15</v>
      </c>
      <c r="F10" t="s">
        <v>37</v>
      </c>
      <c r="G10">
        <v>0</v>
      </c>
      <c r="H10">
        <v>15</v>
      </c>
      <c r="I10" t="s">
        <v>37</v>
      </c>
      <c r="J10">
        <v>0</v>
      </c>
      <c r="K10">
        <v>15</v>
      </c>
      <c r="L10" t="s">
        <v>37</v>
      </c>
    </row>
    <row r="11" spans="4:12">
      <c r="D11">
        <v>0</v>
      </c>
      <c r="E11">
        <v>18</v>
      </c>
      <c r="F11" t="s">
        <v>19</v>
      </c>
      <c r="G11">
        <v>0</v>
      </c>
      <c r="H11">
        <v>16</v>
      </c>
      <c r="I11" t="s">
        <v>19</v>
      </c>
      <c r="J11">
        <v>0</v>
      </c>
      <c r="K11">
        <v>16</v>
      </c>
      <c r="L11" t="s">
        <v>19</v>
      </c>
    </row>
    <row r="12" spans="4:12">
      <c r="D12">
        <v>0</v>
      </c>
      <c r="E12">
        <v>19</v>
      </c>
      <c r="F12" t="s">
        <v>19</v>
      </c>
      <c r="G12">
        <v>0</v>
      </c>
      <c r="H12">
        <v>17</v>
      </c>
      <c r="I12" t="s">
        <v>19</v>
      </c>
      <c r="J12">
        <v>0</v>
      </c>
      <c r="K12">
        <v>17</v>
      </c>
      <c r="L12" t="s">
        <v>19</v>
      </c>
    </row>
    <row r="13" spans="4:12">
      <c r="D13">
        <v>0</v>
      </c>
      <c r="E13">
        <v>20</v>
      </c>
      <c r="F13" t="s">
        <v>19</v>
      </c>
      <c r="G13">
        <v>0</v>
      </c>
      <c r="H13">
        <v>18</v>
      </c>
      <c r="I13" t="s">
        <v>19</v>
      </c>
      <c r="J13">
        <v>0</v>
      </c>
      <c r="K13">
        <v>18</v>
      </c>
      <c r="L13" t="s">
        <v>19</v>
      </c>
    </row>
    <row r="14" spans="4:12">
      <c r="D14">
        <v>0</v>
      </c>
      <c r="E14">
        <v>21</v>
      </c>
      <c r="F14" t="s">
        <v>36</v>
      </c>
      <c r="G14">
        <v>0</v>
      </c>
      <c r="H14">
        <v>19</v>
      </c>
      <c r="I14" t="s">
        <v>36</v>
      </c>
      <c r="J14">
        <v>0</v>
      </c>
      <c r="K14">
        <v>19</v>
      </c>
      <c r="L14" t="s">
        <v>36</v>
      </c>
    </row>
    <row r="15" spans="4:12">
      <c r="D15">
        <v>0</v>
      </c>
      <c r="E15">
        <v>22</v>
      </c>
      <c r="F15" t="s">
        <v>36</v>
      </c>
      <c r="G15">
        <v>0</v>
      </c>
      <c r="H15">
        <v>20</v>
      </c>
      <c r="I15" t="s">
        <v>37</v>
      </c>
      <c r="J15">
        <v>0</v>
      </c>
      <c r="K15">
        <v>20</v>
      </c>
      <c r="L15" t="s">
        <v>37</v>
      </c>
    </row>
    <row r="16" spans="4:12">
      <c r="D16">
        <v>0</v>
      </c>
      <c r="E16">
        <v>24</v>
      </c>
      <c r="F16" t="s">
        <v>37</v>
      </c>
      <c r="G16">
        <v>0</v>
      </c>
      <c r="H16">
        <v>21</v>
      </c>
      <c r="I16" t="s">
        <v>38</v>
      </c>
      <c r="J16">
        <v>0</v>
      </c>
      <c r="K16">
        <v>21</v>
      </c>
      <c r="L16" t="s">
        <v>38</v>
      </c>
    </row>
    <row r="17" spans="4:12">
      <c r="D17">
        <v>0</v>
      </c>
      <c r="E17">
        <v>25</v>
      </c>
      <c r="F17" t="s">
        <v>37</v>
      </c>
      <c r="G17">
        <v>0</v>
      </c>
      <c r="H17">
        <v>22</v>
      </c>
      <c r="I17" t="s">
        <v>18</v>
      </c>
      <c r="J17">
        <v>0</v>
      </c>
      <c r="K17">
        <v>22</v>
      </c>
      <c r="L17" t="s">
        <v>18</v>
      </c>
    </row>
    <row r="18" spans="4:12">
      <c r="D18">
        <v>0</v>
      </c>
      <c r="E18">
        <v>26</v>
      </c>
      <c r="F18" t="s">
        <v>37</v>
      </c>
      <c r="G18">
        <v>0</v>
      </c>
      <c r="H18">
        <v>23</v>
      </c>
      <c r="I18" t="s">
        <v>39</v>
      </c>
      <c r="J18">
        <v>0</v>
      </c>
      <c r="K18">
        <v>23</v>
      </c>
      <c r="L18" t="s">
        <v>39</v>
      </c>
    </row>
    <row r="19" spans="4:12">
      <c r="D19">
        <v>0</v>
      </c>
      <c r="E19">
        <v>27</v>
      </c>
      <c r="F19" t="s">
        <v>37</v>
      </c>
      <c r="G19">
        <v>0</v>
      </c>
      <c r="H19">
        <v>24</v>
      </c>
      <c r="I19" t="s">
        <v>17</v>
      </c>
      <c r="J19">
        <v>0</v>
      </c>
      <c r="K19">
        <v>24</v>
      </c>
      <c r="L19" t="s">
        <v>17</v>
      </c>
    </row>
    <row r="20" spans="4:12">
      <c r="D20">
        <v>0</v>
      </c>
      <c r="E20">
        <v>28</v>
      </c>
      <c r="F20" t="s">
        <v>37</v>
      </c>
      <c r="G20">
        <v>0</v>
      </c>
      <c r="H20">
        <v>25</v>
      </c>
      <c r="I20" t="s">
        <v>50</v>
      </c>
      <c r="J20">
        <v>0</v>
      </c>
      <c r="K20">
        <v>25</v>
      </c>
      <c r="L20" t="s">
        <v>50</v>
      </c>
    </row>
    <row r="21" spans="4:12">
      <c r="D21">
        <v>0</v>
      </c>
      <c r="E21">
        <v>29</v>
      </c>
      <c r="F21" t="s">
        <v>37</v>
      </c>
      <c r="G21">
        <v>0</v>
      </c>
      <c r="H21">
        <v>27</v>
      </c>
      <c r="I21" t="s">
        <v>20</v>
      </c>
      <c r="J21">
        <v>0</v>
      </c>
      <c r="K21">
        <v>27</v>
      </c>
      <c r="L21" t="s">
        <v>20</v>
      </c>
    </row>
    <row r="22" spans="4:12">
      <c r="D22">
        <v>0</v>
      </c>
      <c r="E22">
        <v>30</v>
      </c>
      <c r="F22" t="s">
        <v>37</v>
      </c>
      <c r="G22">
        <v>0</v>
      </c>
      <c r="H22">
        <v>28</v>
      </c>
      <c r="I22" t="s">
        <v>20</v>
      </c>
      <c r="J22">
        <v>0</v>
      </c>
      <c r="K22">
        <v>28</v>
      </c>
      <c r="L22" t="s">
        <v>20</v>
      </c>
    </row>
    <row r="23" spans="4:12">
      <c r="D23">
        <v>0</v>
      </c>
      <c r="E23">
        <v>31</v>
      </c>
      <c r="F23" t="s">
        <v>50</v>
      </c>
      <c r="G23">
        <v>0</v>
      </c>
      <c r="H23">
        <v>43</v>
      </c>
      <c r="I23" t="s">
        <v>165</v>
      </c>
      <c r="J23">
        <v>0</v>
      </c>
      <c r="K23">
        <v>43</v>
      </c>
      <c r="L23" t="s">
        <v>165</v>
      </c>
    </row>
    <row r="24" spans="4:12">
      <c r="D24">
        <v>0</v>
      </c>
      <c r="E24">
        <v>32</v>
      </c>
      <c r="F24" t="s">
        <v>20</v>
      </c>
      <c r="G24">
        <v>0</v>
      </c>
      <c r="H24">
        <v>44</v>
      </c>
      <c r="I24" t="s">
        <v>164</v>
      </c>
      <c r="J24">
        <v>0</v>
      </c>
      <c r="K24">
        <v>44</v>
      </c>
      <c r="L24" t="s">
        <v>164</v>
      </c>
    </row>
    <row r="25" spans="4:12">
      <c r="D25">
        <v>0</v>
      </c>
      <c r="E25">
        <v>33</v>
      </c>
      <c r="F25" t="s">
        <v>20</v>
      </c>
      <c r="G25">
        <v>0</v>
      </c>
      <c r="H25">
        <v>45</v>
      </c>
      <c r="I25" t="s">
        <v>114</v>
      </c>
      <c r="J25">
        <v>0</v>
      </c>
      <c r="K25">
        <v>45</v>
      </c>
      <c r="L25" t="s">
        <v>114</v>
      </c>
    </row>
    <row r="26" spans="4:12">
      <c r="D26">
        <v>0</v>
      </c>
      <c r="E26">
        <v>43</v>
      </c>
      <c r="F26" t="s">
        <v>165</v>
      </c>
      <c r="G26">
        <v>0</v>
      </c>
      <c r="H26">
        <v>46</v>
      </c>
      <c r="I26" t="s">
        <v>115</v>
      </c>
      <c r="J26">
        <v>0</v>
      </c>
      <c r="K26">
        <v>46</v>
      </c>
      <c r="L26" t="s">
        <v>115</v>
      </c>
    </row>
    <row r="27" spans="4:12">
      <c r="D27">
        <v>0</v>
      </c>
      <c r="E27">
        <v>44</v>
      </c>
      <c r="F27" t="s">
        <v>164</v>
      </c>
      <c r="G27">
        <v>0</v>
      </c>
      <c r="H27">
        <v>47</v>
      </c>
      <c r="I27" t="s">
        <v>117</v>
      </c>
      <c r="J27">
        <v>0</v>
      </c>
      <c r="K27">
        <v>47</v>
      </c>
      <c r="L27" t="s">
        <v>117</v>
      </c>
    </row>
    <row r="28" spans="4:12">
      <c r="D28">
        <v>0</v>
      </c>
      <c r="E28">
        <v>45</v>
      </c>
      <c r="F28" t="s">
        <v>114</v>
      </c>
      <c r="G28">
        <v>0</v>
      </c>
      <c r="H28">
        <v>48</v>
      </c>
      <c r="I28" t="s">
        <v>119</v>
      </c>
      <c r="J28">
        <v>0</v>
      </c>
      <c r="K28">
        <v>48</v>
      </c>
      <c r="L28" t="s">
        <v>119</v>
      </c>
    </row>
    <row r="29" spans="4:12">
      <c r="D29">
        <v>0</v>
      </c>
      <c r="E29">
        <v>46</v>
      </c>
      <c r="F29" t="s">
        <v>115</v>
      </c>
      <c r="G29">
        <v>0</v>
      </c>
      <c r="H29">
        <v>49</v>
      </c>
      <c r="I29" t="s">
        <v>121</v>
      </c>
      <c r="J29">
        <v>0</v>
      </c>
      <c r="K29">
        <v>49</v>
      </c>
      <c r="L29" t="s">
        <v>121</v>
      </c>
    </row>
    <row r="30" spans="4:12">
      <c r="D30">
        <v>0</v>
      </c>
      <c r="E30">
        <v>47</v>
      </c>
      <c r="F30" t="s">
        <v>117</v>
      </c>
      <c r="G30">
        <v>0</v>
      </c>
      <c r="H30">
        <v>51</v>
      </c>
      <c r="I30" t="s">
        <v>40</v>
      </c>
      <c r="J30">
        <v>0</v>
      </c>
      <c r="K30">
        <v>51</v>
      </c>
      <c r="L30" t="s">
        <v>40</v>
      </c>
    </row>
    <row r="31" spans="4:12">
      <c r="D31">
        <v>0</v>
      </c>
      <c r="E31">
        <v>48</v>
      </c>
      <c r="F31" t="s">
        <v>119</v>
      </c>
      <c r="G31">
        <v>0</v>
      </c>
      <c r="H31">
        <v>52</v>
      </c>
      <c r="I31" t="s">
        <v>40</v>
      </c>
      <c r="J31">
        <v>0</v>
      </c>
      <c r="K31">
        <v>52</v>
      </c>
      <c r="L31" t="s">
        <v>40</v>
      </c>
    </row>
    <row r="32" spans="4:12">
      <c r="D32">
        <v>0</v>
      </c>
      <c r="E32">
        <v>49</v>
      </c>
      <c r="F32" t="s">
        <v>121</v>
      </c>
      <c r="G32">
        <v>4</v>
      </c>
      <c r="H32">
        <v>3</v>
      </c>
      <c r="I32" t="s">
        <v>3</v>
      </c>
      <c r="J32">
        <v>4</v>
      </c>
      <c r="K32">
        <v>3</v>
      </c>
      <c r="L32" t="s">
        <v>3</v>
      </c>
    </row>
    <row r="33" spans="4:12">
      <c r="D33">
        <v>0</v>
      </c>
      <c r="E33">
        <v>51</v>
      </c>
      <c r="F33" t="s">
        <v>40</v>
      </c>
      <c r="G33">
        <v>4</v>
      </c>
      <c r="H33">
        <v>4</v>
      </c>
      <c r="I33" t="s">
        <v>12</v>
      </c>
      <c r="J33">
        <v>4</v>
      </c>
      <c r="K33">
        <v>4</v>
      </c>
      <c r="L33" t="s">
        <v>12</v>
      </c>
    </row>
    <row r="34" spans="4:12">
      <c r="D34">
        <v>0</v>
      </c>
      <c r="E34">
        <v>52</v>
      </c>
      <c r="F34" t="s">
        <v>40</v>
      </c>
      <c r="G34">
        <v>4</v>
      </c>
      <c r="H34">
        <v>5</v>
      </c>
      <c r="I34" t="s">
        <v>13</v>
      </c>
      <c r="J34">
        <v>4</v>
      </c>
      <c r="K34">
        <v>5</v>
      </c>
      <c r="L34" t="s">
        <v>13</v>
      </c>
    </row>
    <row r="35" spans="4:12">
      <c r="D35">
        <v>4</v>
      </c>
      <c r="E35">
        <v>3</v>
      </c>
      <c r="F35" t="s">
        <v>3</v>
      </c>
      <c r="G35">
        <v>4</v>
      </c>
      <c r="H35">
        <v>6</v>
      </c>
      <c r="I35" t="s">
        <v>14</v>
      </c>
      <c r="J35">
        <v>4</v>
      </c>
      <c r="K35">
        <v>6</v>
      </c>
      <c r="L35" t="s">
        <v>14</v>
      </c>
    </row>
    <row r="36" spans="4:12">
      <c r="D36">
        <v>4</v>
      </c>
      <c r="E36">
        <v>4</v>
      </c>
      <c r="F36" t="s">
        <v>12</v>
      </c>
      <c r="G36">
        <v>4</v>
      </c>
      <c r="H36">
        <v>7</v>
      </c>
      <c r="I36" t="s">
        <v>16</v>
      </c>
      <c r="J36">
        <v>4</v>
      </c>
      <c r="K36">
        <v>7</v>
      </c>
      <c r="L36" t="s">
        <v>16</v>
      </c>
    </row>
    <row r="37" spans="4:12">
      <c r="D37">
        <v>4</v>
      </c>
      <c r="E37">
        <v>5</v>
      </c>
      <c r="F37" t="s">
        <v>13</v>
      </c>
      <c r="G37">
        <v>4</v>
      </c>
      <c r="H37">
        <v>8</v>
      </c>
      <c r="I37" t="s">
        <v>15</v>
      </c>
      <c r="J37">
        <v>4</v>
      </c>
      <c r="K37">
        <v>8</v>
      </c>
      <c r="L37" t="s">
        <v>15</v>
      </c>
    </row>
    <row r="38" spans="4:12">
      <c r="D38">
        <v>4</v>
      </c>
      <c r="E38">
        <v>6</v>
      </c>
      <c r="F38" t="s">
        <v>14</v>
      </c>
      <c r="G38">
        <v>4</v>
      </c>
      <c r="H38">
        <v>16</v>
      </c>
      <c r="I38" t="s">
        <v>5</v>
      </c>
      <c r="J38">
        <v>4</v>
      </c>
      <c r="K38">
        <v>16</v>
      </c>
      <c r="L38" t="s">
        <v>5</v>
      </c>
    </row>
    <row r="39" spans="4:12">
      <c r="D39">
        <v>4</v>
      </c>
      <c r="E39">
        <v>7</v>
      </c>
      <c r="F39" t="s">
        <v>16</v>
      </c>
      <c r="G39">
        <v>4</v>
      </c>
      <c r="H39">
        <v>17</v>
      </c>
      <c r="I39" t="s">
        <v>33</v>
      </c>
      <c r="J39">
        <v>4</v>
      </c>
      <c r="K39">
        <v>17</v>
      </c>
      <c r="L39" t="s">
        <v>33</v>
      </c>
    </row>
    <row r="40" spans="4:12">
      <c r="D40">
        <v>4</v>
      </c>
      <c r="E40">
        <v>8</v>
      </c>
      <c r="F40" t="s">
        <v>15</v>
      </c>
      <c r="G40">
        <v>4</v>
      </c>
      <c r="H40">
        <v>18</v>
      </c>
      <c r="I40" t="s">
        <v>31</v>
      </c>
      <c r="J40">
        <v>4</v>
      </c>
      <c r="K40">
        <v>18</v>
      </c>
      <c r="L40" t="s">
        <v>31</v>
      </c>
    </row>
    <row r="41" spans="4:12">
      <c r="D41">
        <v>4</v>
      </c>
      <c r="E41">
        <v>16</v>
      </c>
      <c r="F41" t="s">
        <v>5</v>
      </c>
      <c r="G41">
        <v>4</v>
      </c>
      <c r="H41">
        <v>19</v>
      </c>
      <c r="I41" t="s">
        <v>27</v>
      </c>
      <c r="J41">
        <v>4</v>
      </c>
      <c r="K41">
        <v>19</v>
      </c>
      <c r="L41" t="s">
        <v>27</v>
      </c>
    </row>
    <row r="42" spans="4:12">
      <c r="D42">
        <v>4</v>
      </c>
      <c r="E42">
        <v>17</v>
      </c>
      <c r="F42" t="s">
        <v>33</v>
      </c>
      <c r="G42">
        <v>4</v>
      </c>
      <c r="H42">
        <v>20</v>
      </c>
      <c r="I42" t="s">
        <v>27</v>
      </c>
      <c r="J42">
        <v>4</v>
      </c>
      <c r="K42">
        <v>20</v>
      </c>
      <c r="L42" t="s">
        <v>27</v>
      </c>
    </row>
    <row r="43" spans="4:12">
      <c r="D43">
        <v>4</v>
      </c>
      <c r="E43">
        <v>18</v>
      </c>
      <c r="F43" t="s">
        <v>31</v>
      </c>
      <c r="G43">
        <v>4</v>
      </c>
      <c r="H43">
        <v>21</v>
      </c>
      <c r="I43" t="s">
        <v>27</v>
      </c>
      <c r="J43">
        <v>4</v>
      </c>
      <c r="K43">
        <v>21</v>
      </c>
      <c r="L43" t="s">
        <v>27</v>
      </c>
    </row>
    <row r="44" spans="4:12">
      <c r="D44">
        <v>4</v>
      </c>
      <c r="E44">
        <v>19</v>
      </c>
      <c r="F44" t="s">
        <v>27</v>
      </c>
      <c r="G44">
        <v>4</v>
      </c>
      <c r="H44">
        <v>22</v>
      </c>
      <c r="I44" t="s">
        <v>29</v>
      </c>
      <c r="J44">
        <v>4</v>
      </c>
      <c r="K44">
        <v>22</v>
      </c>
      <c r="L44" t="s">
        <v>29</v>
      </c>
    </row>
    <row r="45" spans="4:12">
      <c r="D45">
        <v>4</v>
      </c>
      <c r="E45">
        <v>20</v>
      </c>
      <c r="F45" t="s">
        <v>27</v>
      </c>
      <c r="G45">
        <v>4</v>
      </c>
      <c r="H45">
        <v>23</v>
      </c>
      <c r="I45" t="s">
        <v>29</v>
      </c>
      <c r="J45">
        <v>4</v>
      </c>
      <c r="K45">
        <v>23</v>
      </c>
      <c r="L45" t="s">
        <v>29</v>
      </c>
    </row>
    <row r="46" spans="4:12">
      <c r="D46">
        <v>4</v>
      </c>
      <c r="E46">
        <v>21</v>
      </c>
      <c r="F46" t="s">
        <v>27</v>
      </c>
      <c r="G46">
        <v>4</v>
      </c>
      <c r="H46">
        <v>25</v>
      </c>
      <c r="I46" t="s">
        <v>32</v>
      </c>
      <c r="J46">
        <v>4</v>
      </c>
      <c r="K46">
        <v>25</v>
      </c>
      <c r="L46" t="s">
        <v>32</v>
      </c>
    </row>
    <row r="47" spans="4:12">
      <c r="D47">
        <v>4</v>
      </c>
      <c r="E47">
        <v>22</v>
      </c>
      <c r="F47" t="s">
        <v>29</v>
      </c>
      <c r="G47">
        <v>4</v>
      </c>
      <c r="H47">
        <v>26</v>
      </c>
      <c r="I47" t="s">
        <v>30</v>
      </c>
      <c r="J47">
        <v>4</v>
      </c>
      <c r="K47">
        <v>26</v>
      </c>
      <c r="L47" t="s">
        <v>30</v>
      </c>
    </row>
    <row r="48" spans="4:12">
      <c r="D48">
        <v>4</v>
      </c>
      <c r="E48">
        <v>23</v>
      </c>
      <c r="F48" t="s">
        <v>29</v>
      </c>
      <c r="G48">
        <v>4</v>
      </c>
      <c r="H48">
        <v>27</v>
      </c>
      <c r="I48" t="s">
        <v>26</v>
      </c>
      <c r="J48">
        <v>4</v>
      </c>
      <c r="K48">
        <v>27</v>
      </c>
      <c r="L48" t="s">
        <v>26</v>
      </c>
    </row>
    <row r="49" spans="4:12">
      <c r="D49">
        <v>4</v>
      </c>
      <c r="E49">
        <v>25</v>
      </c>
      <c r="F49" t="s">
        <v>32</v>
      </c>
      <c r="G49">
        <v>4</v>
      </c>
      <c r="H49">
        <v>28</v>
      </c>
      <c r="I49" t="s">
        <v>25</v>
      </c>
      <c r="J49">
        <v>4</v>
      </c>
      <c r="K49">
        <v>28</v>
      </c>
      <c r="L49" t="s">
        <v>25</v>
      </c>
    </row>
    <row r="50" spans="4:12">
      <c r="D50">
        <v>4</v>
      </c>
      <c r="E50">
        <v>26</v>
      </c>
      <c r="F50" t="s">
        <v>30</v>
      </c>
      <c r="G50">
        <v>4</v>
      </c>
      <c r="H50">
        <v>29</v>
      </c>
      <c r="I50" t="s">
        <v>28</v>
      </c>
      <c r="J50">
        <v>4</v>
      </c>
      <c r="K50">
        <v>29</v>
      </c>
      <c r="L50" t="s">
        <v>28</v>
      </c>
    </row>
    <row r="51" spans="4:12">
      <c r="D51">
        <v>4</v>
      </c>
      <c r="E51">
        <v>29</v>
      </c>
      <c r="F51" t="s">
        <v>28</v>
      </c>
    </row>
    <row r="52" spans="4:12">
      <c r="D52">
        <v>4</v>
      </c>
      <c r="E52">
        <v>30</v>
      </c>
      <c r="F52" t="s">
        <v>166</v>
      </c>
    </row>
    <row r="53" spans="4:12">
      <c r="D53">
        <v>4</v>
      </c>
      <c r="E53">
        <v>31</v>
      </c>
      <c r="F53" t="s">
        <v>166</v>
      </c>
    </row>
    <row r="54" spans="4:12">
      <c r="D54">
        <v>4</v>
      </c>
      <c r="E54">
        <v>34</v>
      </c>
      <c r="F54" t="s">
        <v>167</v>
      </c>
    </row>
    <row r="55" spans="4:12">
      <c r="D55">
        <v>4</v>
      </c>
      <c r="E55">
        <v>35</v>
      </c>
      <c r="F55" t="s">
        <v>167</v>
      </c>
    </row>
  </sheetData>
  <sortState ref="J2:L50">
    <sortCondition ref="J2:J50"/>
    <sortCondition ref="K2:K5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7"/>
  <sheetViews>
    <sheetView workbookViewId="0">
      <selection activeCell="A46" sqref="A46"/>
    </sheetView>
  </sheetViews>
  <sheetFormatPr defaultColWidth="15.44140625" defaultRowHeight="10.199999999999999"/>
  <cols>
    <col min="1" max="1" width="22.44140625" style="53" customWidth="1"/>
    <col min="2" max="16384" width="15.44140625" style="53"/>
  </cols>
  <sheetData>
    <row r="1" spans="1:2">
      <c r="A1" s="86" t="str">
        <f>'JOB ASSIGNER'!A7</f>
        <v>Tesma/5710 CNC</v>
      </c>
      <c r="B1" s="86" t="str">
        <f>'JOB ASSIGNER'!B7</f>
        <v>Casey Himburg</v>
      </c>
    </row>
    <row r="2" spans="1:2">
      <c r="A2" s="86" t="str">
        <f>'JOB ASSIGNER'!A8</f>
        <v>Magna Opt/Tri</v>
      </c>
      <c r="B2" s="86" t="str">
        <f>'JOB ASSIGNER'!B8</f>
        <v>John Vincent_</v>
      </c>
    </row>
    <row r="3" spans="1:2">
      <c r="A3" s="86" t="str">
        <f>'JOB ASSIGNER'!A9</f>
        <v>Magna Opt/Tri</v>
      </c>
      <c r="B3" s="86">
        <f>'JOB ASSIGNER'!B9</f>
        <v>0</v>
      </c>
    </row>
    <row r="4" spans="1:2">
      <c r="A4" s="86" t="str">
        <f>'JOB ASSIGNER'!A10</f>
        <v>Magna Opt/Tri</v>
      </c>
      <c r="B4" s="86" t="str">
        <f>'JOB ASSIGNER'!B10</f>
        <v>Les Prosser_</v>
      </c>
    </row>
    <row r="5" spans="1:2">
      <c r="A5" s="86" t="str">
        <f>'JOB ASSIGNER'!A11</f>
        <v>Carrier Assembler</v>
      </c>
      <c r="B5" s="86" t="str">
        <f>'JOB ASSIGNER'!B11</f>
        <v>Kevin Powell_</v>
      </c>
    </row>
    <row r="6" spans="1:2">
      <c r="A6" s="86" t="str">
        <f>'JOB ASSIGNER'!A12</f>
        <v>Vision / Broach</v>
      </c>
      <c r="B6" s="86" t="str">
        <f>'JOB ASSIGNER'!B12</f>
        <v>Rob Martin_</v>
      </c>
    </row>
    <row r="7" spans="1:2">
      <c r="A7" s="86" t="str">
        <f>'JOB ASSIGNER'!A13</f>
        <v>Magna Pack Opt</v>
      </c>
      <c r="B7" s="86" t="str">
        <f>'JOB ASSIGNER'!B13</f>
        <v>Cindy Williamson_</v>
      </c>
    </row>
    <row r="8" spans="1:2">
      <c r="A8" s="86" t="str">
        <f>'JOB ASSIGNER'!A14</f>
        <v>Magna Pack Trilobe</v>
      </c>
      <c r="B8" s="86">
        <f>'JOB ASSIGNER'!B14</f>
        <v>0</v>
      </c>
    </row>
    <row r="9" spans="1:2">
      <c r="A9" s="86" t="str">
        <f>'JOB ASSIGNER'!A15</f>
        <v>Oil &amp; Pack Magna</v>
      </c>
      <c r="B9" s="86" t="str">
        <f>'JOB ASSIGNER'!B15</f>
        <v>Leanne Zehr_</v>
      </c>
    </row>
    <row r="10" spans="1:2">
      <c r="A10" s="86">
        <f>'JOB ASSIGNER'!A16</f>
        <v>0</v>
      </c>
      <c r="B10" s="86">
        <f>'JOB ASSIGNER'!B16</f>
        <v>0</v>
      </c>
    </row>
    <row r="11" spans="1:2">
      <c r="A11" s="86">
        <f>'JOB ASSIGNER'!A17</f>
        <v>0</v>
      </c>
      <c r="B11" s="86">
        <f>'JOB ASSIGNER'!B17</f>
        <v>0</v>
      </c>
    </row>
    <row r="12" spans="1:2">
      <c r="A12" s="86" t="str">
        <f>'JOB ASSIGNER'!A19</f>
        <v>1504 / 1506 (10/20)</v>
      </c>
      <c r="B12" s="86" t="str">
        <f>'JOB ASSIGNER'!B19</f>
        <v xml:space="preserve">Wengyang Wang </v>
      </c>
    </row>
    <row r="13" spans="1:2">
      <c r="A13" s="86" t="str">
        <f>'JOB ASSIGNER'!A20</f>
        <v>1519 / 1520 (10/20)</v>
      </c>
      <c r="B13" s="86" t="str">
        <f>'JOB ASSIGNER'!B20</f>
        <v>Xingfei Gao</v>
      </c>
    </row>
    <row r="14" spans="1:2">
      <c r="A14" s="86" t="str">
        <f>'JOB ASSIGNER'!A21</f>
        <v>1518 / 1521 (10/20)</v>
      </c>
      <c r="B14" s="86" t="str">
        <f>'JOB ASSIGNER'!B21</f>
        <v>Mike Racho;</v>
      </c>
    </row>
    <row r="15" spans="1:2">
      <c r="A15" s="86" t="str">
        <f>'JOB ASSIGNER'!A22</f>
        <v>1502 / 1507 (30)</v>
      </c>
      <c r="B15" s="86" t="str">
        <f>'JOB ASSIGNER'!B22</f>
        <v>Efrem Tedla;</v>
      </c>
    </row>
    <row r="16" spans="1:2">
      <c r="A16" s="86" t="str">
        <f>'JOB ASSIGNER'!A23</f>
        <v>1539 (30)</v>
      </c>
      <c r="B16" s="86" t="str">
        <f>'JOB ASSIGNER'!B23</f>
        <v xml:space="preserve">Diane Deschauer, </v>
      </c>
    </row>
    <row r="17" spans="1:2">
      <c r="A17" s="86" t="str">
        <f>'JOB ASSIGNER'!A24</f>
        <v>1540(30)</v>
      </c>
      <c r="B17" s="86" t="str">
        <f>'JOB ASSIGNER'!B24</f>
        <v>Christine Taylor_</v>
      </c>
    </row>
    <row r="18" spans="1:2">
      <c r="A18" s="86" t="str">
        <f>'JOB ASSIGNER'!A25</f>
        <v>1543/1529(Op30)</v>
      </c>
      <c r="B18" s="86" t="str">
        <f>'JOB ASSIGNER'!B25</f>
        <v>Jonathan Brunk</v>
      </c>
    </row>
    <row r="19" spans="1:2">
      <c r="A19" s="86" t="str">
        <f>'JOB ASSIGNER'!A26</f>
        <v>1501 / 1515 (40)</v>
      </c>
      <c r="B19" s="86" t="str">
        <f>'JOB ASSIGNER'!B26</f>
        <v>Simon Kuepfer</v>
      </c>
    </row>
    <row r="20" spans="1:2">
      <c r="A20" s="86" t="str">
        <f>'JOB ASSIGNER'!A27</f>
        <v>1525 (40) Offline</v>
      </c>
      <c r="B20" s="86" t="str">
        <f>'JOB ASSIGNER'!B27</f>
        <v>Lee Zhang_</v>
      </c>
    </row>
    <row r="21" spans="1:2">
      <c r="A21" s="86" t="str">
        <f>'JOB ASSIGNER'!A28</f>
        <v>1524 Op40</v>
      </c>
      <c r="B21" s="86" t="str">
        <f>'JOB ASSIGNER'!B28</f>
        <v>Rick Woodhouse_</v>
      </c>
    </row>
    <row r="22" spans="1:2">
      <c r="A22" s="86" t="str">
        <f>'JOB ASSIGNER'!A29</f>
        <v>1508 / 1532 / 1509 / 1514</v>
      </c>
      <c r="B22" s="86" t="str">
        <f>'JOB ASSIGNER'!B29</f>
        <v>Shelly Coughtrey,</v>
      </c>
    </row>
    <row r="23" spans="1:2">
      <c r="A23" s="86" t="str">
        <f>'JOB ASSIGNER'!A30</f>
        <v xml:space="preserve"> 1541  (Offline)</v>
      </c>
      <c r="B23" s="86" t="str">
        <f>'JOB ASSIGNER'!B30</f>
        <v>Stanley Tulloch</v>
      </c>
    </row>
    <row r="24" spans="1:2">
      <c r="A24" s="86" t="str">
        <f>'JOB ASSIGNER'!A31</f>
        <v>1806 (Offline)</v>
      </c>
      <c r="B24" s="86" t="str">
        <f>'JOB ASSIGNER'!B31</f>
        <v>Berhe Amare</v>
      </c>
    </row>
    <row r="25" spans="1:2">
      <c r="A25" s="86" t="str">
        <f>'JOB ASSIGNER'!A32</f>
        <v>1510(80)  / 1513 (90)</v>
      </c>
      <c r="B25" s="86" t="str">
        <f>'JOB ASSIGNER'!B32</f>
        <v>Darryk Kunkel;</v>
      </c>
    </row>
    <row r="26" spans="1:2">
      <c r="A26" s="86" t="str">
        <f>'JOB ASSIGNER'!A33</f>
        <v>1528 (110) Offline</v>
      </c>
      <c r="B26" s="86" t="str">
        <f>'JOB ASSIGNER'!B33</f>
        <v>Sandra West</v>
      </c>
    </row>
    <row r="27" spans="1:2">
      <c r="A27" s="86" t="str">
        <f>'JOB ASSIGNER'!A34</f>
        <v>1503 (100) / 1511 (110)</v>
      </c>
      <c r="B27" s="86" t="str">
        <f>'JOB ASSIGNER'!B34</f>
        <v>Jamie Trachsel;</v>
      </c>
    </row>
    <row r="28" spans="1:2">
      <c r="A28" s="86" t="str">
        <f>'JOB ASSIGNER'!A35</f>
        <v>1530(100) Offline</v>
      </c>
      <c r="B28" s="86" t="str">
        <f>'JOB ASSIGNER'!B35</f>
        <v>Stacy Reid</v>
      </c>
    </row>
    <row r="29" spans="1:2">
      <c r="A29" s="86" t="str">
        <f>'JOB ASSIGNER'!A36</f>
        <v>1522/1523 (10/20</v>
      </c>
      <c r="B29" s="86" t="str">
        <f>'JOB ASSIGNER'!B36</f>
        <v>James Kuepfer</v>
      </c>
    </row>
    <row r="30" spans="1:2">
      <c r="A30" s="86" t="str">
        <f>'JOB ASSIGNER'!A37</f>
        <v>10R Inspect</v>
      </c>
      <c r="B30" s="86" t="str">
        <f>'JOB ASSIGNER'!B37</f>
        <v>Lidia Salazar Marroquin</v>
      </c>
    </row>
    <row r="31" spans="1:2">
      <c r="A31" s="86" t="str">
        <f>'JOB ASSIGNER'!A38</f>
        <v>10R Final Pack</v>
      </c>
      <c r="B31" s="86">
        <f>'JOB ASSIGNER'!B38</f>
        <v>0</v>
      </c>
    </row>
    <row r="32" spans="1:2">
      <c r="A32" s="86" t="str">
        <f>'JOB ASSIGNER'!A39</f>
        <v>10R CMM</v>
      </c>
      <c r="B32" s="86" t="str">
        <f>'JOB ASSIGNER'!B39</f>
        <v>Pascale Jolin,</v>
      </c>
    </row>
    <row r="33" spans="1:2">
      <c r="A33" s="86" t="str">
        <f>'JOB ASSIGNER'!A40</f>
        <v>5710 GP-12</v>
      </c>
      <c r="B33" s="86">
        <f>'JOB ASSIGNER'!B40</f>
        <v>0</v>
      </c>
    </row>
    <row r="34" spans="1:2">
      <c r="A34" s="86" t="str">
        <f>'JOB ASSIGNER'!A41</f>
        <v>10R Certify</v>
      </c>
      <c r="B34" s="86" t="str">
        <f>'JOB ASSIGNER'!B41</f>
        <v>Gail Weiler</v>
      </c>
    </row>
    <row r="35" spans="1:2">
      <c r="A35" s="86" t="str">
        <f>'JOB ASSIGNER'!A42</f>
        <v>Magna 200%</v>
      </c>
      <c r="B35" s="86">
        <f>'JOB ASSIGNER'!B42</f>
        <v>0</v>
      </c>
    </row>
    <row r="36" spans="1:2">
      <c r="A36" s="86" t="str">
        <f>'JOB ASSIGNER'!A43</f>
        <v>Magna CS-1</v>
      </c>
      <c r="B36" s="86" t="str">
        <f>'JOB ASSIGNER'!B43</f>
        <v>Todd MacDonald</v>
      </c>
    </row>
    <row r="37" spans="1:2">
      <c r="A37" s="86" t="str">
        <f>'JOB ASSIGNER'!A44</f>
        <v>10R Assembler</v>
      </c>
      <c r="B37" s="86" t="str">
        <f>'JOB ASSIGNER'!B44</f>
        <v>Terry Rodwell</v>
      </c>
    </row>
    <row r="38" spans="1:2">
      <c r="A38" s="86" t="str">
        <f>'JOB ASSIGNER'!A45</f>
        <v>Tesma Wash/Inspect</v>
      </c>
      <c r="B38" s="86">
        <f>'JOB ASSIGNER'!B45</f>
        <v>0</v>
      </c>
    </row>
    <row r="39" spans="1:2">
      <c r="A39" s="86" t="str">
        <f>'JOB ASSIGNER'!A46</f>
        <v>Tesma Slurry</v>
      </c>
      <c r="B39" s="86" t="str">
        <f>'JOB ASSIGNER'!B46</f>
        <v>Collin Miller</v>
      </c>
    </row>
    <row r="40" spans="1:2">
      <c r="A40" s="86" t="str">
        <f>'JOB ASSIGNER'!E7</f>
        <v>Press 240</v>
      </c>
      <c r="B40" s="86" t="str">
        <f>'JOB ASSIGNER'!F7</f>
        <v>Regan Hopkins</v>
      </c>
    </row>
    <row r="41" spans="1:2">
      <c r="A41" s="86" t="str">
        <f>'JOB ASSIGNER'!E8</f>
        <v>Press 241</v>
      </c>
      <c r="B41" s="86" t="str">
        <f>'JOB ASSIGNER'!F8</f>
        <v>Jim Proudlove</v>
      </c>
    </row>
    <row r="42" spans="1:2">
      <c r="A42" s="86" t="str">
        <f>'JOB ASSIGNER'!E9</f>
        <v>Press 242</v>
      </c>
      <c r="B42" s="86" t="str">
        <f>'JOB ASSIGNER'!F9</f>
        <v>Janice Koehler</v>
      </c>
    </row>
    <row r="43" spans="1:2">
      <c r="A43" s="86" t="str">
        <f>'JOB ASSIGNER'!E10</f>
        <v>Press 248</v>
      </c>
      <c r="B43" s="86" t="str">
        <f>'JOB ASSIGNER'!F10</f>
        <v>Shawn Trotter</v>
      </c>
    </row>
    <row r="44" spans="1:2">
      <c r="A44" s="86" t="str">
        <f>'JOB ASSIGNER'!E11</f>
        <v>Press 261</v>
      </c>
      <c r="B44" s="86" t="str">
        <f>'JOB ASSIGNER'!F11</f>
        <v>Sara Wood</v>
      </c>
    </row>
    <row r="45" spans="1:2">
      <c r="A45" s="86" t="str">
        <f>'JOB ASSIGNER'!E12</f>
        <v>Wafers / Pellets/TPM Sheets</v>
      </c>
      <c r="B45" s="86" t="str">
        <f>'JOB ASSIGNER'!F12</f>
        <v>Terry Cook</v>
      </c>
    </row>
    <row r="46" spans="1:2">
      <c r="A46" s="86" t="str">
        <f>'JOB ASSIGNER'!E13</f>
        <v>262/263</v>
      </c>
      <c r="B46" s="86" t="str">
        <f>'JOB ASSIGNER'!F13</f>
        <v>Greg Snider_</v>
      </c>
    </row>
    <row r="47" spans="1:2">
      <c r="A47" s="86">
        <f>'JOB ASSIGNER'!E14</f>
        <v>0</v>
      </c>
      <c r="B47" s="86">
        <f>'JOB ASSIGNER'!F14</f>
        <v>0</v>
      </c>
    </row>
    <row r="48" spans="1:2">
      <c r="A48" s="86" t="str">
        <f>'JOB ASSIGNER'!E15</f>
        <v>Danly</v>
      </c>
      <c r="B48" s="86" t="str">
        <f>'JOB ASSIGNER'!F15</f>
        <v>Eugene Dent</v>
      </c>
    </row>
    <row r="49" spans="1:2">
      <c r="A49" s="86" t="str">
        <f>'JOB ASSIGNER'!E16</f>
        <v>Danly</v>
      </c>
      <c r="B49" s="86">
        <f>'JOB ASSIGNER'!F16</f>
        <v>0</v>
      </c>
    </row>
    <row r="50" spans="1:2">
      <c r="A50" s="86" t="str">
        <f>'JOB ASSIGNER'!E17</f>
        <v>Danly</v>
      </c>
      <c r="B50" s="86">
        <f>'JOB ASSIGNER'!F17</f>
        <v>0</v>
      </c>
    </row>
    <row r="51" spans="1:2">
      <c r="A51" s="86">
        <f>'JOB ASSIGNER'!E18</f>
        <v>0</v>
      </c>
      <c r="B51" s="86">
        <f>'JOB ASSIGNER'!F18</f>
        <v>0</v>
      </c>
    </row>
    <row r="52" spans="1:2">
      <c r="A52" s="86" t="str">
        <f>'JOB ASSIGNER'!E20</f>
        <v>349 - 10R Load</v>
      </c>
      <c r="B52" s="86" t="str">
        <f>'JOB ASSIGNER'!F20</f>
        <v>Mary Streicher</v>
      </c>
    </row>
    <row r="53" spans="1:2">
      <c r="A53" s="86" t="str">
        <f>'JOB ASSIGNER'!E21</f>
        <v>349 - 10R Unload</v>
      </c>
      <c r="B53" s="86" t="str">
        <f>'JOB ASSIGNER'!F21</f>
        <v>Ian Hamer</v>
      </c>
    </row>
    <row r="54" spans="1:2">
      <c r="A54" s="86" t="str">
        <f>'JOB ASSIGNER'!E22</f>
        <v>349 - 10R Unload</v>
      </c>
      <c r="B54" s="86" t="str">
        <f>'JOB ASSIGNER'!F22</f>
        <v>John Bazylewicz</v>
      </c>
    </row>
    <row r="55" spans="1:2">
      <c r="A55" s="86" t="str">
        <f>'JOB ASSIGNER'!E23</f>
        <v>314 - Load</v>
      </c>
      <c r="B55" s="86" t="str">
        <f>'JOB ASSIGNER'!F23</f>
        <v>Yvonne McLeod</v>
      </c>
    </row>
    <row r="56" spans="1:2">
      <c r="A56" s="86" t="str">
        <f>'JOB ASSIGNER'!E24</f>
        <v>316 - Load</v>
      </c>
      <c r="B56" s="86">
        <f>'JOB ASSIGNER'!F24</f>
        <v>0</v>
      </c>
    </row>
    <row r="57" spans="1:2">
      <c r="A57" s="86" t="str">
        <f>'JOB ASSIGNER'!E25</f>
        <v>314 - Supply</v>
      </c>
      <c r="B57" s="86" t="str">
        <f>'JOB ASSIGNER'!F25</f>
        <v>Nancy Ney</v>
      </c>
    </row>
    <row r="58" spans="1:2">
      <c r="A58" s="86" t="str">
        <f>'JOB ASSIGNER'!E26</f>
        <v>316 - Unload</v>
      </c>
      <c r="B58" s="86">
        <f>'JOB ASSIGNER'!F26</f>
        <v>0</v>
      </c>
    </row>
    <row r="59" spans="1:2">
      <c r="A59" s="86" t="str">
        <f>'JOB ASSIGNER'!E27</f>
        <v>314 - Unload</v>
      </c>
      <c r="B59" s="86" t="str">
        <f>'JOB ASSIGNER'!F27</f>
        <v>Hunter Vokey (S)</v>
      </c>
    </row>
    <row r="60" spans="1:2">
      <c r="A60" s="86" t="str">
        <f>'JOB ASSIGNER'!E28</f>
        <v>331 - Load</v>
      </c>
      <c r="B60" s="86" t="str">
        <f>'JOB ASSIGNER'!F28</f>
        <v>Christine Walker</v>
      </c>
    </row>
    <row r="61" spans="1:2">
      <c r="A61" s="86" t="str">
        <f>'JOB ASSIGNER'!E29</f>
        <v>331 - Supply</v>
      </c>
      <c r="B61" s="86" t="str">
        <f>'JOB ASSIGNER'!F29</f>
        <v>Joyce Murray</v>
      </c>
    </row>
    <row r="62" spans="1:2">
      <c r="A62" s="86" t="str">
        <f>'JOB ASSIGNER'!E30</f>
        <v>331 - Unload</v>
      </c>
      <c r="B62" s="86" t="str">
        <f>'JOB ASSIGNER'!F30</f>
        <v>Tim Brickman</v>
      </c>
    </row>
    <row r="63" spans="1:2">
      <c r="A63" s="86">
        <f>'JOB ASSIGNER'!E31</f>
        <v>0</v>
      </c>
      <c r="B63" s="86">
        <f>'JOB ASSIGNER'!F31</f>
        <v>0</v>
      </c>
    </row>
    <row r="64" spans="1:2">
      <c r="A64" s="86">
        <f>'JOB ASSIGNER'!E32</f>
        <v>0</v>
      </c>
      <c r="B64" s="86">
        <f>'JOB ASSIGNER'!F32</f>
        <v>0</v>
      </c>
    </row>
    <row r="65" spans="1:2">
      <c r="A65" s="86">
        <f>'JOB ASSIGNER'!E33</f>
        <v>0</v>
      </c>
      <c r="B65" s="86">
        <f>'JOB ASSIGNER'!F33</f>
        <v>0</v>
      </c>
    </row>
    <row r="66" spans="1:2">
      <c r="A66" s="86">
        <f>'JOB ASSIGNER'!E34</f>
        <v>0</v>
      </c>
      <c r="B66" s="86">
        <f>'JOB ASSIGNER'!F34</f>
        <v>0</v>
      </c>
    </row>
    <row r="67" spans="1:2">
      <c r="A67" s="86">
        <f>'JOB ASSIGNER'!E35</f>
        <v>0</v>
      </c>
      <c r="B67" s="86">
        <f>'JOB ASSIGNER'!F35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56"/>
  <sheetViews>
    <sheetView workbookViewId="0">
      <selection activeCell="F6" sqref="F6:F103"/>
    </sheetView>
  </sheetViews>
  <sheetFormatPr defaultColWidth="9.109375" defaultRowHeight="12"/>
  <cols>
    <col min="1" max="1" width="12.5546875" style="44" customWidth="1"/>
    <col min="2" max="2" width="5.6640625" style="44" customWidth="1"/>
    <col min="3" max="3" width="21" style="44" customWidth="1"/>
    <col min="4" max="4" width="16.88671875" style="44" customWidth="1"/>
    <col min="5" max="5" width="19.6640625" style="44" customWidth="1"/>
    <col min="6" max="6" width="25.88671875" style="44" customWidth="1"/>
    <col min="7" max="7" width="9.109375" style="44"/>
    <col min="8" max="8" width="21.44140625" style="44" customWidth="1"/>
    <col min="9" max="9" width="9.109375" style="44"/>
    <col min="10" max="10" width="24.88671875" style="44" customWidth="1"/>
    <col min="11" max="11" width="18.33203125" style="44" customWidth="1"/>
    <col min="12" max="12" width="14.6640625" style="44" customWidth="1"/>
    <col min="13" max="16384" width="9.109375" style="44"/>
  </cols>
  <sheetData>
    <row r="1" spans="1:12" ht="12.6">
      <c r="A1" s="43" t="s">
        <v>51</v>
      </c>
      <c r="C1" s="45" t="s">
        <v>52</v>
      </c>
      <c r="D1" s="45" t="s">
        <v>54</v>
      </c>
      <c r="E1" s="46" t="s">
        <v>55</v>
      </c>
      <c r="F1" s="45" t="s">
        <v>56</v>
      </c>
      <c r="J1" s="45" t="s">
        <v>58</v>
      </c>
    </row>
    <row r="2" spans="1:12" ht="12.6">
      <c r="A2" s="47" t="str">
        <f>'JOB ASSIGNER'!I3</f>
        <v>Plant 1 Days</v>
      </c>
      <c r="C2" s="44" t="s">
        <v>214</v>
      </c>
      <c r="D2" s="48" t="str">
        <f>'JOB ASSIGNER'!B7</f>
        <v>Casey Himburg</v>
      </c>
      <c r="E2" s="50" t="str">
        <f t="shared" ref="E2:E33" si="0">IF(IF(ISNUMBER(MATCH(C2,D:D,0)),1,0),"",C2)</f>
        <v/>
      </c>
      <c r="F2" s="44" t="s">
        <v>220</v>
      </c>
      <c r="G2" s="49"/>
      <c r="J2" s="44" t="s">
        <v>238</v>
      </c>
      <c r="L2" s="44" t="str">
        <f>IF(LEN(C2)&gt;5,C2,".")</f>
        <v>Berhe Amare</v>
      </c>
    </row>
    <row r="3" spans="1:12">
      <c r="C3" s="44" t="s">
        <v>185</v>
      </c>
      <c r="D3" s="48" t="str">
        <f>'JOB ASSIGNER'!B8</f>
        <v>John Vincent_</v>
      </c>
      <c r="E3" s="50" t="str">
        <f t="shared" si="0"/>
        <v/>
      </c>
      <c r="F3" s="44" t="s">
        <v>225</v>
      </c>
      <c r="J3" s="44" t="s">
        <v>239</v>
      </c>
      <c r="L3" s="44" t="str">
        <f t="shared" ref="L3:L66" si="1">IF(LEN(C3)&gt;5,C3,".")</f>
        <v>Casey Himburg</v>
      </c>
    </row>
    <row r="4" spans="1:12" ht="12.6">
      <c r="A4" s="45" t="s">
        <v>53</v>
      </c>
      <c r="C4" s="44" t="s">
        <v>212</v>
      </c>
      <c r="D4" s="48">
        <f>'JOB ASSIGNER'!B9</f>
        <v>0</v>
      </c>
      <c r="E4" s="50" t="str">
        <f t="shared" si="0"/>
        <v/>
      </c>
      <c r="F4" s="44" t="s">
        <v>226</v>
      </c>
      <c r="J4" s="44" t="s">
        <v>240</v>
      </c>
      <c r="L4" s="44" t="str">
        <f t="shared" si="1"/>
        <v>Christine Walker</v>
      </c>
    </row>
    <row r="5" spans="1:12">
      <c r="A5" s="44" t="s">
        <v>41</v>
      </c>
      <c r="C5" s="44" t="s">
        <v>194</v>
      </c>
      <c r="D5" s="48" t="str">
        <f>'JOB ASSIGNER'!B10</f>
        <v>Les Prosser_</v>
      </c>
      <c r="E5" s="50" t="str">
        <f t="shared" si="0"/>
        <v/>
      </c>
      <c r="F5" s="44" t="s">
        <v>230</v>
      </c>
      <c r="J5" s="44" t="s">
        <v>241</v>
      </c>
      <c r="L5" s="44" t="str">
        <f t="shared" si="1"/>
        <v>Collin Miller</v>
      </c>
    </row>
    <row r="6" spans="1:12">
      <c r="A6" s="44" t="s">
        <v>42</v>
      </c>
      <c r="C6" s="44" t="s">
        <v>218</v>
      </c>
      <c r="D6" s="48" t="str">
        <f>'JOB ASSIGNER'!B11</f>
        <v>Kevin Powell_</v>
      </c>
      <c r="E6" s="50" t="str">
        <f t="shared" si="0"/>
        <v/>
      </c>
      <c r="F6" s="44" t="s">
        <v>57</v>
      </c>
      <c r="J6" s="44" t="s">
        <v>242</v>
      </c>
      <c r="L6" s="44" t="str">
        <f t="shared" si="1"/>
        <v>Darryk Kunkel;</v>
      </c>
    </row>
    <row r="7" spans="1:12">
      <c r="A7" s="44" t="s">
        <v>179</v>
      </c>
      <c r="C7" s="44" t="s">
        <v>191</v>
      </c>
      <c r="D7" s="48" t="str">
        <f>'JOB ASSIGNER'!B12</f>
        <v>Rob Martin_</v>
      </c>
      <c r="E7" s="50" t="str">
        <f t="shared" si="0"/>
        <v/>
      </c>
      <c r="F7" s="44" t="s">
        <v>57</v>
      </c>
      <c r="J7" s="44" t="s">
        <v>243</v>
      </c>
      <c r="L7" s="44" t="str">
        <f t="shared" si="1"/>
        <v>Debbie Koebel</v>
      </c>
    </row>
    <row r="8" spans="1:12">
      <c r="A8" s="44" t="s">
        <v>180</v>
      </c>
      <c r="C8" s="44" t="s">
        <v>219</v>
      </c>
      <c r="D8" s="48" t="str">
        <f>'JOB ASSIGNER'!B13</f>
        <v>Cindy Williamson_</v>
      </c>
      <c r="E8" s="50" t="str">
        <f t="shared" si="0"/>
        <v/>
      </c>
      <c r="F8" s="44" t="s">
        <v>57</v>
      </c>
      <c r="J8" s="44" t="s">
        <v>244</v>
      </c>
      <c r="L8" s="44" t="str">
        <f t="shared" si="1"/>
        <v xml:space="preserve">Diane Deschauer, </v>
      </c>
    </row>
    <row r="9" spans="1:12">
      <c r="A9" s="44" t="s">
        <v>181</v>
      </c>
      <c r="C9" s="44" t="s">
        <v>220</v>
      </c>
      <c r="D9" s="48">
        <f>'JOB ASSIGNER'!B14</f>
        <v>0</v>
      </c>
      <c r="E9" s="50" t="str">
        <f t="shared" si="0"/>
        <v>Don Cosstick</v>
      </c>
      <c r="F9" s="44" t="s">
        <v>57</v>
      </c>
      <c r="J9" s="44" t="s">
        <v>245</v>
      </c>
      <c r="L9" s="44" t="str">
        <f t="shared" si="1"/>
        <v>Don Cosstick</v>
      </c>
    </row>
    <row r="10" spans="1:12">
      <c r="C10" s="44" t="s">
        <v>221</v>
      </c>
      <c r="D10" s="48" t="str">
        <f>'JOB ASSIGNER'!B15</f>
        <v>Leanne Zehr_</v>
      </c>
      <c r="E10" s="50" t="str">
        <f t="shared" si="0"/>
        <v/>
      </c>
      <c r="F10" s="44" t="s">
        <v>57</v>
      </c>
      <c r="J10" s="44" t="s">
        <v>246</v>
      </c>
      <c r="L10" s="44" t="str">
        <f t="shared" si="1"/>
        <v>Efrem Tedla;</v>
      </c>
    </row>
    <row r="11" spans="1:12">
      <c r="C11" s="44" t="s">
        <v>205</v>
      </c>
      <c r="D11" s="48">
        <f>'JOB ASSIGNER'!B16</f>
        <v>0</v>
      </c>
      <c r="E11" s="50" t="str">
        <f t="shared" si="0"/>
        <v/>
      </c>
      <c r="F11" s="44" t="s">
        <v>57</v>
      </c>
      <c r="L11" s="44" t="str">
        <f t="shared" si="1"/>
        <v>Eugene Dent</v>
      </c>
    </row>
    <row r="12" spans="1:12">
      <c r="C12" s="44" t="s">
        <v>215</v>
      </c>
      <c r="D12" s="48">
        <f>'JOB ASSIGNER'!B17</f>
        <v>0</v>
      </c>
      <c r="E12" s="50" t="str">
        <f t="shared" si="0"/>
        <v/>
      </c>
      <c r="F12" s="44" t="s">
        <v>57</v>
      </c>
      <c r="L12" s="44" t="str">
        <f t="shared" si="1"/>
        <v>Gail Weiler</v>
      </c>
    </row>
    <row r="13" spans="1:12">
      <c r="C13" s="44" t="s">
        <v>222</v>
      </c>
      <c r="D13" s="48" t="str">
        <f>'JOB ASSIGNER'!B19</f>
        <v xml:space="preserve">Wengyang Wang </v>
      </c>
      <c r="E13" s="50" t="str">
        <f t="shared" si="0"/>
        <v/>
      </c>
      <c r="F13" s="44" t="s">
        <v>57</v>
      </c>
      <c r="L13" s="44" t="str">
        <f t="shared" si="1"/>
        <v>Hunter Vokey (S)</v>
      </c>
    </row>
    <row r="14" spans="1:12">
      <c r="C14" s="44" t="s">
        <v>209</v>
      </c>
      <c r="D14" s="48" t="str">
        <f>'JOB ASSIGNER'!B20</f>
        <v>Xingfei Gao</v>
      </c>
      <c r="E14" s="50" t="str">
        <f t="shared" si="0"/>
        <v/>
      </c>
      <c r="F14" s="44" t="s">
        <v>57</v>
      </c>
      <c r="L14" s="44" t="str">
        <f t="shared" si="1"/>
        <v>Ian Hamer</v>
      </c>
    </row>
    <row r="15" spans="1:12">
      <c r="C15" s="44" t="s">
        <v>223</v>
      </c>
      <c r="D15" s="48" t="str">
        <f>'JOB ASSIGNER'!B21</f>
        <v>Mike Racho;</v>
      </c>
      <c r="E15" s="50" t="str">
        <f t="shared" si="0"/>
        <v/>
      </c>
      <c r="F15" s="44" t="s">
        <v>57</v>
      </c>
      <c r="L15" s="44" t="str">
        <f t="shared" si="1"/>
        <v>James Kuepfer</v>
      </c>
    </row>
    <row r="16" spans="1:12">
      <c r="A16" s="44" t="s">
        <v>60</v>
      </c>
      <c r="B16" s="44">
        <v>2</v>
      </c>
      <c r="C16" s="44" t="s">
        <v>224</v>
      </c>
      <c r="D16" s="48" t="str">
        <f>'JOB ASSIGNER'!B22</f>
        <v>Efrem Tedla;</v>
      </c>
      <c r="E16" s="50" t="str">
        <f t="shared" si="0"/>
        <v/>
      </c>
      <c r="F16" s="44" t="s">
        <v>57</v>
      </c>
      <c r="L16" s="44" t="str">
        <f t="shared" si="1"/>
        <v>Jamie Trachsel;</v>
      </c>
    </row>
    <row r="17" spans="1:12">
      <c r="A17" s="44" t="s">
        <v>61</v>
      </c>
      <c r="B17" s="44">
        <v>5</v>
      </c>
      <c r="C17" s="44" t="s">
        <v>198</v>
      </c>
      <c r="D17" s="48" t="str">
        <f>'JOB ASSIGNER'!B23</f>
        <v xml:space="preserve">Diane Deschauer, </v>
      </c>
      <c r="E17" s="50" t="str">
        <f t="shared" si="0"/>
        <v/>
      </c>
      <c r="F17" s="44" t="s">
        <v>57</v>
      </c>
      <c r="L17" s="44" t="str">
        <f t="shared" si="1"/>
        <v>Janice Koehler</v>
      </c>
    </row>
    <row r="18" spans="1:12">
      <c r="A18" s="44" t="s">
        <v>62</v>
      </c>
      <c r="B18" s="44">
        <v>8</v>
      </c>
      <c r="C18" s="44" t="s">
        <v>225</v>
      </c>
      <c r="D18" s="48" t="str">
        <f>'JOB ASSIGNER'!B24</f>
        <v>Christine Taylor_</v>
      </c>
      <c r="E18" s="50" t="str">
        <f t="shared" si="0"/>
        <v>Jaxon Gilbert (S)</v>
      </c>
      <c r="F18" s="44" t="s">
        <v>57</v>
      </c>
      <c r="L18" s="44" t="str">
        <f t="shared" si="1"/>
        <v>Jaxon Gilbert (S)</v>
      </c>
    </row>
    <row r="19" spans="1:12">
      <c r="A19" s="44" t="s">
        <v>63</v>
      </c>
      <c r="B19" s="44">
        <v>11</v>
      </c>
      <c r="C19" s="44" t="s">
        <v>196</v>
      </c>
      <c r="D19" s="48" t="str">
        <f>'JOB ASSIGNER'!B25</f>
        <v>Jonathan Brunk</v>
      </c>
      <c r="E19" s="50" t="str">
        <f t="shared" si="0"/>
        <v/>
      </c>
      <c r="F19" s="44" t="s">
        <v>57</v>
      </c>
      <c r="L19" s="44" t="str">
        <f t="shared" si="1"/>
        <v>Jim Proudlove</v>
      </c>
    </row>
    <row r="20" spans="1:12">
      <c r="A20" s="44" t="s">
        <v>44</v>
      </c>
      <c r="B20" s="44">
        <v>14</v>
      </c>
      <c r="C20" s="44" t="s">
        <v>210</v>
      </c>
      <c r="D20" s="48" t="str">
        <f>'JOB ASSIGNER'!B26</f>
        <v>Simon Kuepfer</v>
      </c>
      <c r="E20" s="50" t="str">
        <f t="shared" si="0"/>
        <v/>
      </c>
      <c r="F20" s="44" t="s">
        <v>57</v>
      </c>
      <c r="L20" s="44" t="str">
        <f t="shared" si="1"/>
        <v>John Bazylewicz</v>
      </c>
    </row>
    <row r="21" spans="1:12">
      <c r="A21" s="44" t="s">
        <v>64</v>
      </c>
      <c r="B21" s="44">
        <v>17</v>
      </c>
      <c r="C21" s="44" t="s">
        <v>226</v>
      </c>
      <c r="D21" s="48" t="str">
        <f>'JOB ASSIGNER'!B27</f>
        <v>Lee Zhang_</v>
      </c>
      <c r="E21" s="50" t="str">
        <f t="shared" si="0"/>
        <v>Jon Wood (S)</v>
      </c>
      <c r="F21" s="44" t="s">
        <v>57</v>
      </c>
      <c r="L21" s="44" t="str">
        <f t="shared" si="1"/>
        <v>Jon Wood (S)</v>
      </c>
    </row>
    <row r="22" spans="1:12">
      <c r="A22" s="44" t="s">
        <v>65</v>
      </c>
      <c r="B22" s="44">
        <v>20</v>
      </c>
      <c r="C22" s="44" t="s">
        <v>227</v>
      </c>
      <c r="D22" s="48" t="str">
        <f>'JOB ASSIGNER'!B28</f>
        <v>Rick Woodhouse_</v>
      </c>
      <c r="E22" s="50" t="str">
        <f t="shared" si="0"/>
        <v/>
      </c>
      <c r="F22" s="44" t="s">
        <v>57</v>
      </c>
      <c r="L22" s="44" t="str">
        <f t="shared" si="1"/>
        <v>Jonathan Brunk</v>
      </c>
    </row>
    <row r="23" spans="1:12">
      <c r="A23" s="44" t="s">
        <v>66</v>
      </c>
      <c r="B23" s="44">
        <v>23</v>
      </c>
      <c r="C23" s="44" t="s">
        <v>207</v>
      </c>
      <c r="D23" s="48" t="str">
        <f>'JOB ASSIGNER'!B29</f>
        <v>Shelly Coughtrey,</v>
      </c>
      <c r="E23" s="50" t="str">
        <f t="shared" si="0"/>
        <v/>
      </c>
      <c r="F23" s="44" t="s">
        <v>57</v>
      </c>
      <c r="L23" s="44" t="str">
        <f t="shared" si="1"/>
        <v>Joyce Murray</v>
      </c>
    </row>
    <row r="24" spans="1:12">
      <c r="A24" s="44" t="s">
        <v>67</v>
      </c>
      <c r="B24" s="44">
        <v>26</v>
      </c>
      <c r="C24" s="44" t="s">
        <v>228</v>
      </c>
      <c r="D24" s="48" t="str">
        <f>'JOB ASSIGNER'!B30</f>
        <v>Stanley Tulloch</v>
      </c>
      <c r="E24" s="50" t="str">
        <f t="shared" si="0"/>
        <v/>
      </c>
      <c r="F24" s="44" t="s">
        <v>57</v>
      </c>
      <c r="L24" s="44" t="str">
        <f t="shared" si="1"/>
        <v>Lee Zhang_</v>
      </c>
    </row>
    <row r="25" spans="1:12">
      <c r="C25" s="44" t="s">
        <v>229</v>
      </c>
      <c r="D25" s="48" t="str">
        <f>'JOB ASSIGNER'!B31</f>
        <v>Berhe Amare</v>
      </c>
      <c r="E25" s="50" t="str">
        <f t="shared" si="0"/>
        <v/>
      </c>
      <c r="F25" s="44" t="s">
        <v>57</v>
      </c>
      <c r="L25" s="44" t="str">
        <f t="shared" si="1"/>
        <v>Lidia Salazar Marroquin</v>
      </c>
    </row>
    <row r="26" spans="1:12">
      <c r="C26" s="44" t="s">
        <v>206</v>
      </c>
      <c r="D26" s="48" t="str">
        <f>'JOB ASSIGNER'!B32</f>
        <v>Darryk Kunkel;</v>
      </c>
      <c r="E26" s="50" t="str">
        <f t="shared" si="0"/>
        <v/>
      </c>
      <c r="F26" s="44" t="s">
        <v>57</v>
      </c>
      <c r="L26" s="44" t="str">
        <f t="shared" si="1"/>
        <v>Mary Streicher</v>
      </c>
    </row>
    <row r="27" spans="1:12">
      <c r="A27" s="44" t="s">
        <v>60</v>
      </c>
      <c r="C27" s="44" t="s">
        <v>230</v>
      </c>
      <c r="D27" s="48" t="str">
        <f>'JOB ASSIGNER'!B33</f>
        <v>Sandra West</v>
      </c>
      <c r="E27" s="50" t="str">
        <f t="shared" si="0"/>
        <v>Mekdes Erassa</v>
      </c>
      <c r="F27" s="44" t="s">
        <v>57</v>
      </c>
      <c r="L27" s="44" t="str">
        <f t="shared" si="1"/>
        <v>Mekdes Erassa</v>
      </c>
    </row>
    <row r="28" spans="1:12">
      <c r="A28" s="44">
        <v>0</v>
      </c>
      <c r="C28" s="44" t="s">
        <v>186</v>
      </c>
      <c r="D28" s="48" t="str">
        <f>'JOB ASSIGNER'!B34</f>
        <v>Jamie Trachsel;</v>
      </c>
      <c r="E28" s="50" t="str">
        <f t="shared" si="0"/>
        <v/>
      </c>
      <c r="F28" s="44" t="s">
        <v>57</v>
      </c>
      <c r="L28" s="44" t="str">
        <f t="shared" si="1"/>
        <v>Mike Racho;</v>
      </c>
    </row>
    <row r="29" spans="1:12">
      <c r="C29" s="44" t="s">
        <v>216</v>
      </c>
      <c r="D29" s="48" t="str">
        <f>'JOB ASSIGNER'!B35</f>
        <v>Stacy Reid</v>
      </c>
      <c r="E29" s="50" t="str">
        <f t="shared" si="0"/>
        <v/>
      </c>
      <c r="F29" s="44" t="s">
        <v>57</v>
      </c>
      <c r="L29" s="44" t="str">
        <f t="shared" si="1"/>
        <v>Nancy Ney</v>
      </c>
    </row>
    <row r="30" spans="1:12">
      <c r="C30" s="44" t="s">
        <v>189</v>
      </c>
      <c r="D30" s="48" t="str">
        <f>'JOB ASSIGNER'!B36</f>
        <v>James Kuepfer</v>
      </c>
      <c r="E30" s="50" t="str">
        <f t="shared" si="0"/>
        <v/>
      </c>
      <c r="F30" s="44" t="s">
        <v>57</v>
      </c>
      <c r="L30" s="44" t="str">
        <f t="shared" si="1"/>
        <v>Pascale Jolin,</v>
      </c>
    </row>
    <row r="31" spans="1:12">
      <c r="C31" s="44" t="s">
        <v>203</v>
      </c>
      <c r="D31" s="48" t="str">
        <f>'JOB ASSIGNER'!B37</f>
        <v>Lidia Salazar Marroquin</v>
      </c>
      <c r="E31" s="50" t="str">
        <f t="shared" si="0"/>
        <v/>
      </c>
      <c r="F31" s="44" t="s">
        <v>57</v>
      </c>
      <c r="L31" s="44" t="str">
        <f t="shared" si="1"/>
        <v>Regan Hopkins</v>
      </c>
    </row>
    <row r="32" spans="1:12">
      <c r="C32" s="44" t="s">
        <v>217</v>
      </c>
      <c r="D32" s="48">
        <f>'JOB ASSIGNER'!B38</f>
        <v>0</v>
      </c>
      <c r="E32" s="50" t="str">
        <f t="shared" si="0"/>
        <v/>
      </c>
      <c r="F32" s="44" t="s">
        <v>57</v>
      </c>
      <c r="L32" s="44" t="str">
        <f t="shared" si="1"/>
        <v>Sandra West</v>
      </c>
    </row>
    <row r="33" spans="3:12">
      <c r="C33" s="44" t="s">
        <v>200</v>
      </c>
      <c r="D33" s="48" t="str">
        <f>'JOB ASSIGNER'!B39</f>
        <v>Pascale Jolin,</v>
      </c>
      <c r="E33" s="50" t="str">
        <f t="shared" si="0"/>
        <v/>
      </c>
      <c r="F33" s="44" t="s">
        <v>57</v>
      </c>
      <c r="L33" s="44" t="str">
        <f t="shared" si="1"/>
        <v>Sara Wood</v>
      </c>
    </row>
    <row r="34" spans="3:12">
      <c r="C34" s="44" t="s">
        <v>197</v>
      </c>
      <c r="D34" s="48">
        <f>'JOB ASSIGNER'!B40</f>
        <v>0</v>
      </c>
      <c r="E34" s="50" t="str">
        <f t="shared" ref="E34:E65" si="2">IF(IF(ISNUMBER(MATCH(C34,D:D,0)),1,0),"",C34)</f>
        <v/>
      </c>
      <c r="F34" s="44" t="s">
        <v>57</v>
      </c>
      <c r="L34" s="44" t="str">
        <f t="shared" si="1"/>
        <v>Shawn Trotter</v>
      </c>
    </row>
    <row r="35" spans="3:12">
      <c r="C35" s="44" t="s">
        <v>231</v>
      </c>
      <c r="D35" s="48" t="str">
        <f>'JOB ASSIGNER'!B41</f>
        <v>Gail Weiler</v>
      </c>
      <c r="E35" s="50" t="str">
        <f t="shared" si="2"/>
        <v/>
      </c>
      <c r="F35" s="44" t="s">
        <v>57</v>
      </c>
      <c r="L35" s="44" t="str">
        <f t="shared" si="1"/>
        <v>Shelly Coughtrey,</v>
      </c>
    </row>
    <row r="36" spans="3:12">
      <c r="C36" s="44" t="s">
        <v>232</v>
      </c>
      <c r="D36" s="48">
        <f>'JOB ASSIGNER'!B42</f>
        <v>0</v>
      </c>
      <c r="E36" s="50" t="str">
        <f t="shared" si="2"/>
        <v/>
      </c>
      <c r="F36" s="44" t="s">
        <v>57</v>
      </c>
      <c r="L36" s="44" t="str">
        <f t="shared" si="1"/>
        <v>Simon Kuepfer</v>
      </c>
    </row>
    <row r="37" spans="3:12">
      <c r="C37" s="44" t="s">
        <v>208</v>
      </c>
      <c r="D37" s="48" t="str">
        <f>'JOB ASSIGNER'!B43</f>
        <v>Todd MacDonald</v>
      </c>
      <c r="E37" s="50" t="str">
        <f t="shared" si="2"/>
        <v/>
      </c>
      <c r="F37" s="44" t="s">
        <v>57</v>
      </c>
      <c r="L37" s="44" t="str">
        <f t="shared" si="1"/>
        <v>Stacy Reid</v>
      </c>
    </row>
    <row r="38" spans="3:12">
      <c r="C38" s="44" t="s">
        <v>233</v>
      </c>
      <c r="D38" s="48" t="str">
        <f>'JOB ASSIGNER'!B44</f>
        <v>Terry Rodwell</v>
      </c>
      <c r="E38" s="50" t="str">
        <f t="shared" si="2"/>
        <v/>
      </c>
      <c r="F38" s="44" t="s">
        <v>57</v>
      </c>
      <c r="L38" s="44" t="str">
        <f t="shared" si="1"/>
        <v>Stanley Tulloch</v>
      </c>
    </row>
    <row r="39" spans="3:12">
      <c r="C39" s="44" t="s">
        <v>234</v>
      </c>
      <c r="D39" s="48">
        <f>'JOB ASSIGNER'!B45</f>
        <v>0</v>
      </c>
      <c r="E39" s="50" t="str">
        <f t="shared" si="2"/>
        <v/>
      </c>
      <c r="F39" s="44" t="s">
        <v>57</v>
      </c>
      <c r="L39" s="44" t="str">
        <f t="shared" si="1"/>
        <v>Tammy Ford,</v>
      </c>
    </row>
    <row r="40" spans="3:12">
      <c r="C40" s="44" t="s">
        <v>201</v>
      </c>
      <c r="D40" s="48" t="str">
        <f>'JOB ASSIGNER'!B46</f>
        <v>Collin Miller</v>
      </c>
      <c r="E40" s="50" t="str">
        <f t="shared" si="2"/>
        <v/>
      </c>
      <c r="F40" s="44" t="s">
        <v>57</v>
      </c>
      <c r="L40" s="44" t="str">
        <f t="shared" si="1"/>
        <v>Terry Cook</v>
      </c>
    </row>
    <row r="41" spans="3:12">
      <c r="C41" s="44" t="s">
        <v>235</v>
      </c>
      <c r="D41" s="48" t="str">
        <f>'JOB ASSIGNER'!F7</f>
        <v>Regan Hopkins</v>
      </c>
      <c r="E41" s="50" t="str">
        <f t="shared" si="2"/>
        <v/>
      </c>
      <c r="F41" s="44" t="s">
        <v>57</v>
      </c>
      <c r="L41" s="44" t="str">
        <f t="shared" si="1"/>
        <v>Terry Rodwell</v>
      </c>
    </row>
    <row r="42" spans="3:12">
      <c r="C42" s="44" t="s">
        <v>213</v>
      </c>
      <c r="D42" s="48" t="str">
        <f>'JOB ASSIGNER'!F8</f>
        <v>Jim Proudlove</v>
      </c>
      <c r="E42" s="50" t="str">
        <f t="shared" si="2"/>
        <v/>
      </c>
      <c r="F42" s="44" t="s">
        <v>57</v>
      </c>
      <c r="L42" s="44" t="str">
        <f t="shared" si="1"/>
        <v>Tim Brickman</v>
      </c>
    </row>
    <row r="43" spans="3:12">
      <c r="C43" s="44" t="s">
        <v>192</v>
      </c>
      <c r="D43" s="48" t="str">
        <f>'JOB ASSIGNER'!F9</f>
        <v>Janice Koehler</v>
      </c>
      <c r="E43" s="50" t="str">
        <f t="shared" si="2"/>
        <v/>
      </c>
      <c r="F43" s="44" t="s">
        <v>57</v>
      </c>
      <c r="L43" s="44" t="str">
        <f t="shared" si="1"/>
        <v>Todd MacDonald</v>
      </c>
    </row>
    <row r="44" spans="3:12">
      <c r="C44" s="44" t="s">
        <v>236</v>
      </c>
      <c r="D44" s="48" t="str">
        <f>'JOB ASSIGNER'!F10</f>
        <v>Shawn Trotter</v>
      </c>
      <c r="E44" s="50" t="str">
        <f t="shared" si="2"/>
        <v/>
      </c>
      <c r="F44" s="44" t="s">
        <v>57</v>
      </c>
      <c r="L44" s="44" t="str">
        <f t="shared" si="1"/>
        <v xml:space="preserve">Wengyang Wang </v>
      </c>
    </row>
    <row r="45" spans="3:12">
      <c r="C45" s="44" t="s">
        <v>237</v>
      </c>
      <c r="D45" s="48" t="str">
        <f>'JOB ASSIGNER'!F11</f>
        <v>Sara Wood</v>
      </c>
      <c r="E45" s="50" t="str">
        <f t="shared" si="2"/>
        <v/>
      </c>
      <c r="F45" s="44" t="s">
        <v>57</v>
      </c>
      <c r="L45" s="44" t="str">
        <f t="shared" si="1"/>
        <v>Xingfei Gao</v>
      </c>
    </row>
    <row r="46" spans="3:12">
      <c r="C46" s="44" t="s">
        <v>211</v>
      </c>
      <c r="D46" s="48" t="str">
        <f>'JOB ASSIGNER'!F12</f>
        <v>Terry Cook</v>
      </c>
      <c r="E46" s="50" t="str">
        <f t="shared" si="2"/>
        <v/>
      </c>
      <c r="F46" s="44" t="s">
        <v>57</v>
      </c>
      <c r="L46" s="44" t="str">
        <f t="shared" si="1"/>
        <v>Yvonne McLeod</v>
      </c>
    </row>
    <row r="47" spans="3:12">
      <c r="C47" s="44" t="s">
        <v>238</v>
      </c>
      <c r="D47" s="48" t="str">
        <f>'JOB ASSIGNER'!F13</f>
        <v>Greg Snider_</v>
      </c>
      <c r="E47" s="50" t="str">
        <f t="shared" si="2"/>
        <v/>
      </c>
      <c r="F47" s="44" t="s">
        <v>57</v>
      </c>
      <c r="L47" s="44" t="str">
        <f t="shared" si="1"/>
        <v>Christine Taylor_</v>
      </c>
    </row>
    <row r="48" spans="3:12">
      <c r="C48" s="44" t="s">
        <v>239</v>
      </c>
      <c r="D48" s="48">
        <f>'JOB ASSIGNER'!F14</f>
        <v>0</v>
      </c>
      <c r="E48" s="50" t="str">
        <f t="shared" si="2"/>
        <v/>
      </c>
      <c r="F48" s="44" t="s">
        <v>57</v>
      </c>
      <c r="L48" s="44" t="str">
        <f t="shared" si="1"/>
        <v>Cindy Williamson_</v>
      </c>
    </row>
    <row r="49" spans="3:12">
      <c r="C49" s="44" t="s">
        <v>240</v>
      </c>
      <c r="D49" s="48" t="str">
        <f>'JOB ASSIGNER'!F15</f>
        <v>Eugene Dent</v>
      </c>
      <c r="E49" s="50" t="str">
        <f t="shared" si="2"/>
        <v/>
      </c>
      <c r="F49" s="44" t="s">
        <v>57</v>
      </c>
      <c r="L49" s="44" t="str">
        <f t="shared" si="1"/>
        <v>Greg Snider_</v>
      </c>
    </row>
    <row r="50" spans="3:12">
      <c r="C50" s="44" t="s">
        <v>241</v>
      </c>
      <c r="D50" s="48">
        <f>'JOB ASSIGNER'!F16</f>
        <v>0</v>
      </c>
      <c r="E50" s="50" t="str">
        <f t="shared" si="2"/>
        <v/>
      </c>
      <c r="F50" s="44" t="s">
        <v>57</v>
      </c>
      <c r="L50" s="44" t="str">
        <f t="shared" si="1"/>
        <v>John Vincent_</v>
      </c>
    </row>
    <row r="51" spans="3:12">
      <c r="C51" s="44" t="s">
        <v>242</v>
      </c>
      <c r="D51" s="48">
        <f>'JOB ASSIGNER'!F17</f>
        <v>0</v>
      </c>
      <c r="E51" s="50" t="str">
        <f t="shared" si="2"/>
        <v/>
      </c>
      <c r="F51" s="44" t="s">
        <v>57</v>
      </c>
      <c r="L51" s="44" t="str">
        <f t="shared" si="1"/>
        <v>Kevin Powell_</v>
      </c>
    </row>
    <row r="52" spans="3:12">
      <c r="C52" s="44" t="s">
        <v>243</v>
      </c>
      <c r="D52" s="48">
        <f>'JOB ASSIGNER'!F19</f>
        <v>0</v>
      </c>
      <c r="E52" s="50" t="str">
        <f t="shared" si="2"/>
        <v/>
      </c>
      <c r="F52" s="44" t="s">
        <v>57</v>
      </c>
      <c r="L52" s="44" t="str">
        <f t="shared" si="1"/>
        <v>Leanne Zehr_</v>
      </c>
    </row>
    <row r="53" spans="3:12">
      <c r="C53" s="44" t="s">
        <v>244</v>
      </c>
      <c r="D53" s="48" t="str">
        <f>'JOB ASSIGNER'!F20</f>
        <v>Mary Streicher</v>
      </c>
      <c r="E53" s="50" t="str">
        <f t="shared" si="2"/>
        <v/>
      </c>
      <c r="F53" s="44" t="s">
        <v>57</v>
      </c>
      <c r="L53" s="44" t="str">
        <f t="shared" si="1"/>
        <v>Les Prosser_</v>
      </c>
    </row>
    <row r="54" spans="3:12">
      <c r="C54" s="44" t="s">
        <v>245</v>
      </c>
      <c r="D54" s="48" t="str">
        <f>'JOB ASSIGNER'!F21</f>
        <v>Ian Hamer</v>
      </c>
      <c r="E54" s="50" t="str">
        <f t="shared" si="2"/>
        <v/>
      </c>
      <c r="F54" s="44" t="s">
        <v>57</v>
      </c>
      <c r="L54" s="44" t="str">
        <f t="shared" si="1"/>
        <v>Rick Woodhouse_</v>
      </c>
    </row>
    <row r="55" spans="3:12">
      <c r="C55" s="44" t="s">
        <v>246</v>
      </c>
      <c r="D55" s="48" t="str">
        <f>'JOB ASSIGNER'!F22</f>
        <v>John Bazylewicz</v>
      </c>
      <c r="E55" s="50" t="str">
        <f t="shared" si="2"/>
        <v/>
      </c>
      <c r="F55" s="44" t="s">
        <v>57</v>
      </c>
      <c r="L55" s="44" t="str">
        <f t="shared" si="1"/>
        <v>Rob Martin_</v>
      </c>
    </row>
    <row r="56" spans="3:12">
      <c r="D56" s="48" t="str">
        <f>'JOB ASSIGNER'!F23</f>
        <v>Yvonne McLeod</v>
      </c>
      <c r="E56" s="50" t="str">
        <f t="shared" si="2"/>
        <v/>
      </c>
      <c r="F56" s="44" t="s">
        <v>57</v>
      </c>
      <c r="L56" s="44" t="str">
        <f t="shared" si="1"/>
        <v>.</v>
      </c>
    </row>
    <row r="57" spans="3:12">
      <c r="D57" s="48">
        <f>'JOB ASSIGNER'!F24</f>
        <v>0</v>
      </c>
      <c r="E57" s="50" t="str">
        <f t="shared" si="2"/>
        <v/>
      </c>
      <c r="F57" s="44" t="s">
        <v>57</v>
      </c>
      <c r="L57" s="44" t="str">
        <f t="shared" si="1"/>
        <v>.</v>
      </c>
    </row>
    <row r="58" spans="3:12">
      <c r="D58" s="48" t="str">
        <f>'JOB ASSIGNER'!F25</f>
        <v>Nancy Ney</v>
      </c>
      <c r="E58" s="50" t="str">
        <f t="shared" si="2"/>
        <v/>
      </c>
      <c r="F58" s="44" t="s">
        <v>57</v>
      </c>
      <c r="L58" s="44" t="str">
        <f t="shared" si="1"/>
        <v>.</v>
      </c>
    </row>
    <row r="59" spans="3:12">
      <c r="D59" s="48">
        <f>'JOB ASSIGNER'!F26</f>
        <v>0</v>
      </c>
      <c r="E59" s="50" t="str">
        <f t="shared" si="2"/>
        <v/>
      </c>
      <c r="F59" s="44" t="s">
        <v>57</v>
      </c>
      <c r="L59" s="44" t="str">
        <f t="shared" si="1"/>
        <v>.</v>
      </c>
    </row>
    <row r="60" spans="3:12">
      <c r="D60" s="48" t="str">
        <f>'JOB ASSIGNER'!F27</f>
        <v>Hunter Vokey (S)</v>
      </c>
      <c r="E60" s="50" t="str">
        <f t="shared" si="2"/>
        <v/>
      </c>
      <c r="F60" s="44" t="s">
        <v>57</v>
      </c>
      <c r="L60" s="44" t="str">
        <f t="shared" si="1"/>
        <v>.</v>
      </c>
    </row>
    <row r="61" spans="3:12">
      <c r="D61" s="48" t="str">
        <f>'JOB ASSIGNER'!F28</f>
        <v>Christine Walker</v>
      </c>
      <c r="E61" s="50" t="str">
        <f t="shared" si="2"/>
        <v/>
      </c>
      <c r="F61" s="44" t="s">
        <v>57</v>
      </c>
      <c r="L61" s="44" t="str">
        <f t="shared" si="1"/>
        <v>.</v>
      </c>
    </row>
    <row r="62" spans="3:12">
      <c r="D62" s="48" t="str">
        <f>'JOB ASSIGNER'!F29</f>
        <v>Joyce Murray</v>
      </c>
      <c r="E62" s="50" t="str">
        <f t="shared" si="2"/>
        <v/>
      </c>
      <c r="F62" s="44" t="s">
        <v>57</v>
      </c>
      <c r="L62" s="44" t="str">
        <f t="shared" si="1"/>
        <v>.</v>
      </c>
    </row>
    <row r="63" spans="3:12">
      <c r="D63" s="48" t="str">
        <f>'JOB ASSIGNER'!F30</f>
        <v>Tim Brickman</v>
      </c>
      <c r="E63" s="50" t="str">
        <f t="shared" si="2"/>
        <v/>
      </c>
      <c r="F63" s="44" t="s">
        <v>57</v>
      </c>
      <c r="L63" s="44" t="str">
        <f t="shared" si="1"/>
        <v>.</v>
      </c>
    </row>
    <row r="64" spans="3:12">
      <c r="D64" s="48">
        <f>'JOB ASSIGNER'!F31</f>
        <v>0</v>
      </c>
      <c r="E64" s="50" t="str">
        <f t="shared" si="2"/>
        <v/>
      </c>
      <c r="F64" s="44" t="s">
        <v>57</v>
      </c>
      <c r="L64" s="44" t="str">
        <f t="shared" si="1"/>
        <v>.</v>
      </c>
    </row>
    <row r="65" spans="4:12">
      <c r="D65" s="48">
        <f>'JOB ASSIGNER'!F32</f>
        <v>0</v>
      </c>
      <c r="E65" s="50" t="str">
        <f t="shared" si="2"/>
        <v/>
      </c>
      <c r="F65" s="44" t="s">
        <v>57</v>
      </c>
      <c r="L65" s="44" t="str">
        <f t="shared" si="1"/>
        <v>.</v>
      </c>
    </row>
    <row r="66" spans="4:12">
      <c r="D66" s="48">
        <f>'JOB ASSIGNER'!F33</f>
        <v>0</v>
      </c>
      <c r="E66" s="50" t="str">
        <f t="shared" ref="E66" si="3">IF(IF(ISNUMBER(MATCH(C66,D:D,0)),1,0),"",C66)</f>
        <v/>
      </c>
      <c r="F66" s="44" t="s">
        <v>57</v>
      </c>
      <c r="L66" s="44" t="str">
        <f t="shared" si="1"/>
        <v>.</v>
      </c>
    </row>
    <row r="67" spans="4:12">
      <c r="D67" s="48">
        <f>'JOB ASSIGNER'!F34</f>
        <v>0</v>
      </c>
      <c r="E67" s="50" t="str">
        <f t="shared" ref="E67:E98" si="4">IF(IF(ISNUMBER(MATCH(C67,D:D,0)),1,0),"",C67)</f>
        <v/>
      </c>
      <c r="F67" s="44" t="s">
        <v>57</v>
      </c>
      <c r="L67" s="44" t="str">
        <f t="shared" ref="L67:L99" si="5">IF(LEN(C67)&gt;5,C67,".")</f>
        <v>.</v>
      </c>
    </row>
    <row r="68" spans="4:12">
      <c r="D68" s="48">
        <f>'JOB ASSIGNER'!F35</f>
        <v>0</v>
      </c>
      <c r="E68" s="50" t="str">
        <f t="shared" si="4"/>
        <v/>
      </c>
      <c r="F68" s="44" t="s">
        <v>57</v>
      </c>
      <c r="L68" s="44" t="str">
        <f t="shared" si="5"/>
        <v>.</v>
      </c>
    </row>
    <row r="69" spans="4:12">
      <c r="D69" s="48">
        <f>'JOB ASSIGNER'!F37</f>
        <v>0</v>
      </c>
      <c r="E69" s="50" t="str">
        <f t="shared" si="4"/>
        <v/>
      </c>
      <c r="F69" s="44" t="s">
        <v>57</v>
      </c>
      <c r="L69" s="44" t="str">
        <f t="shared" si="5"/>
        <v>.</v>
      </c>
    </row>
    <row r="70" spans="4:12">
      <c r="D70" s="48">
        <f>'JOB ASSIGNER'!F38</f>
        <v>0</v>
      </c>
      <c r="E70" s="50" t="str">
        <f t="shared" si="4"/>
        <v/>
      </c>
      <c r="F70" s="44" t="s">
        <v>57</v>
      </c>
      <c r="L70" s="44" t="str">
        <f t="shared" si="5"/>
        <v>.</v>
      </c>
    </row>
    <row r="71" spans="4:12">
      <c r="D71" s="48">
        <f>'JOB ASSIGNER'!F39</f>
        <v>0</v>
      </c>
      <c r="E71" s="50" t="str">
        <f t="shared" si="4"/>
        <v/>
      </c>
      <c r="F71" s="44" t="s">
        <v>57</v>
      </c>
      <c r="L71" s="44" t="str">
        <f t="shared" si="5"/>
        <v>.</v>
      </c>
    </row>
    <row r="72" spans="4:12">
      <c r="D72" s="48">
        <f>'JOB ASSIGNER'!F40</f>
        <v>0</v>
      </c>
      <c r="E72" s="50" t="str">
        <f t="shared" si="4"/>
        <v/>
      </c>
      <c r="F72" s="44" t="s">
        <v>57</v>
      </c>
      <c r="L72" s="44" t="str">
        <f t="shared" si="5"/>
        <v>.</v>
      </c>
    </row>
    <row r="73" spans="4:12">
      <c r="D73" s="48">
        <f>'JOB ASSIGNER'!F41</f>
        <v>0</v>
      </c>
      <c r="E73" s="50" t="str">
        <f t="shared" si="4"/>
        <v/>
      </c>
      <c r="F73" s="44" t="s">
        <v>57</v>
      </c>
      <c r="L73" s="44" t="str">
        <f t="shared" si="5"/>
        <v>.</v>
      </c>
    </row>
    <row r="74" spans="4:12">
      <c r="D74" s="48">
        <f>'JOB ASSIGNER'!F42</f>
        <v>0</v>
      </c>
      <c r="E74" s="50" t="str">
        <f t="shared" si="4"/>
        <v/>
      </c>
      <c r="F74" s="44" t="s">
        <v>57</v>
      </c>
      <c r="L74" s="44" t="str">
        <f t="shared" si="5"/>
        <v>.</v>
      </c>
    </row>
    <row r="75" spans="4:12">
      <c r="D75" s="48">
        <f>'JOB ASSIGNER'!F43</f>
        <v>0</v>
      </c>
      <c r="E75" s="50" t="str">
        <f t="shared" si="4"/>
        <v/>
      </c>
      <c r="F75" s="44" t="s">
        <v>57</v>
      </c>
      <c r="L75" s="44" t="str">
        <f t="shared" si="5"/>
        <v>.</v>
      </c>
    </row>
    <row r="76" spans="4:12">
      <c r="D76" s="48">
        <f>'JOB ASSIGNER'!F44</f>
        <v>0</v>
      </c>
      <c r="E76" s="50" t="str">
        <f t="shared" si="4"/>
        <v/>
      </c>
      <c r="F76" s="44" t="s">
        <v>57</v>
      </c>
      <c r="L76" s="44" t="str">
        <f t="shared" si="5"/>
        <v>.</v>
      </c>
    </row>
    <row r="77" spans="4:12">
      <c r="D77" s="48">
        <f>'JOB ASSIGNER'!F45</f>
        <v>0</v>
      </c>
      <c r="E77" s="50" t="str">
        <f t="shared" si="4"/>
        <v/>
      </c>
      <c r="F77" s="44" t="s">
        <v>57</v>
      </c>
      <c r="L77" s="44" t="str">
        <f t="shared" si="5"/>
        <v>.</v>
      </c>
    </row>
    <row r="78" spans="4:12">
      <c r="D78" s="48">
        <f>'JOB ASSIGNER'!F46</f>
        <v>0</v>
      </c>
      <c r="E78" s="50" t="str">
        <f t="shared" si="4"/>
        <v/>
      </c>
      <c r="F78" s="44" t="s">
        <v>57</v>
      </c>
      <c r="L78" s="44" t="str">
        <f t="shared" si="5"/>
        <v>.</v>
      </c>
    </row>
    <row r="79" spans="4:12">
      <c r="D79" s="48" t="str">
        <f>'JOB ASSIGNER'!G37</f>
        <v>10R</v>
      </c>
      <c r="E79" s="50" t="str">
        <f t="shared" si="4"/>
        <v/>
      </c>
      <c r="F79" s="44" t="s">
        <v>57</v>
      </c>
      <c r="L79" s="44" t="str">
        <f t="shared" si="5"/>
        <v>.</v>
      </c>
    </row>
    <row r="80" spans="4:12">
      <c r="D80" s="48">
        <f>'JOB ASSIGNER'!G38</f>
        <v>0</v>
      </c>
      <c r="E80" s="50" t="str">
        <f t="shared" si="4"/>
        <v/>
      </c>
      <c r="F80" s="44" t="s">
        <v>57</v>
      </c>
      <c r="L80" s="44" t="str">
        <f t="shared" si="5"/>
        <v>.</v>
      </c>
    </row>
    <row r="81" spans="4:12">
      <c r="D81" s="48">
        <f>'JOB ASSIGNER'!G39</f>
        <v>0</v>
      </c>
      <c r="E81" s="50" t="str">
        <f t="shared" si="4"/>
        <v/>
      </c>
      <c r="F81" s="44" t="s">
        <v>57</v>
      </c>
      <c r="L81" s="44" t="str">
        <f t="shared" si="5"/>
        <v>.</v>
      </c>
    </row>
    <row r="82" spans="4:12">
      <c r="D82" s="48">
        <f>'JOB ASSIGNER'!G40</f>
        <v>0</v>
      </c>
      <c r="E82" s="50" t="str">
        <f t="shared" si="4"/>
        <v/>
      </c>
      <c r="F82" s="44" t="s">
        <v>57</v>
      </c>
      <c r="L82" s="44" t="str">
        <f t="shared" si="5"/>
        <v>.</v>
      </c>
    </row>
    <row r="83" spans="4:12">
      <c r="D83" s="48">
        <f>'JOB ASSIGNER'!G41</f>
        <v>0</v>
      </c>
      <c r="E83" s="50" t="str">
        <f t="shared" si="4"/>
        <v/>
      </c>
      <c r="F83" s="44" t="s">
        <v>57</v>
      </c>
      <c r="L83" s="44" t="str">
        <f t="shared" si="5"/>
        <v>.</v>
      </c>
    </row>
    <row r="84" spans="4:12">
      <c r="D84" s="48">
        <f>'JOB ASSIGNER'!G42</f>
        <v>0</v>
      </c>
      <c r="E84" s="50" t="str">
        <f t="shared" si="4"/>
        <v/>
      </c>
      <c r="F84" s="44" t="s">
        <v>57</v>
      </c>
      <c r="L84" s="44" t="str">
        <f t="shared" si="5"/>
        <v>.</v>
      </c>
    </row>
    <row r="85" spans="4:12">
      <c r="D85" s="48">
        <f>'JOB ASSIGNER'!G43</f>
        <v>0</v>
      </c>
      <c r="E85" s="50" t="str">
        <f t="shared" si="4"/>
        <v/>
      </c>
      <c r="F85" s="44" t="s">
        <v>57</v>
      </c>
      <c r="L85" s="44" t="str">
        <f t="shared" si="5"/>
        <v>.</v>
      </c>
    </row>
    <row r="86" spans="4:12">
      <c r="D86" s="48">
        <f>'JOB ASSIGNER'!G44</f>
        <v>0</v>
      </c>
      <c r="E86" s="50" t="str">
        <f t="shared" si="4"/>
        <v/>
      </c>
      <c r="F86" s="44" t="s">
        <v>57</v>
      </c>
      <c r="L86" s="44" t="str">
        <f t="shared" si="5"/>
        <v>.</v>
      </c>
    </row>
    <row r="87" spans="4:12">
      <c r="D87" s="48">
        <f>'JOB ASSIGNER'!G45</f>
        <v>0</v>
      </c>
      <c r="E87" s="50" t="str">
        <f t="shared" si="4"/>
        <v/>
      </c>
      <c r="F87" s="44" t="s">
        <v>57</v>
      </c>
      <c r="L87" s="44" t="str">
        <f t="shared" si="5"/>
        <v>.</v>
      </c>
    </row>
    <row r="88" spans="4:12">
      <c r="D88" s="48">
        <f>'JOB ASSIGNER'!G46</f>
        <v>0</v>
      </c>
      <c r="E88" s="50" t="str">
        <f t="shared" si="4"/>
        <v/>
      </c>
      <c r="F88" s="44" t="s">
        <v>57</v>
      </c>
      <c r="L88" s="44" t="str">
        <f t="shared" si="5"/>
        <v>.</v>
      </c>
    </row>
    <row r="89" spans="4:12">
      <c r="D89" s="48" t="str">
        <f>'JOB ASSIGNER'!E37</f>
        <v>Tammy Ford,</v>
      </c>
      <c r="E89" s="50" t="str">
        <f t="shared" si="4"/>
        <v/>
      </c>
      <c r="F89" s="44" t="s">
        <v>57</v>
      </c>
      <c r="L89" s="44" t="str">
        <f t="shared" si="5"/>
        <v>.</v>
      </c>
    </row>
    <row r="90" spans="4:12">
      <c r="D90" s="48">
        <f>'JOB ASSIGNER'!E38</f>
        <v>0</v>
      </c>
      <c r="E90" s="50" t="str">
        <f t="shared" si="4"/>
        <v/>
      </c>
      <c r="F90" s="44" t="s">
        <v>57</v>
      </c>
      <c r="L90" s="44" t="str">
        <f t="shared" si="5"/>
        <v>.</v>
      </c>
    </row>
    <row r="91" spans="4:12">
      <c r="D91" s="48">
        <f>'JOB ASSIGNER'!E39</f>
        <v>0</v>
      </c>
      <c r="E91" s="50" t="str">
        <f t="shared" si="4"/>
        <v/>
      </c>
      <c r="F91" s="44" t="s">
        <v>57</v>
      </c>
      <c r="L91" s="44" t="str">
        <f t="shared" si="5"/>
        <v>.</v>
      </c>
    </row>
    <row r="92" spans="4:12">
      <c r="D92" s="48">
        <f>'JOB ASSIGNER'!E40</f>
        <v>0</v>
      </c>
      <c r="E92" s="50" t="str">
        <f t="shared" si="4"/>
        <v/>
      </c>
      <c r="F92" s="44" t="s">
        <v>57</v>
      </c>
      <c r="L92" s="44" t="str">
        <f t="shared" si="5"/>
        <v>.</v>
      </c>
    </row>
    <row r="93" spans="4:12">
      <c r="D93" s="48">
        <f>'JOB ASSIGNER'!E41</f>
        <v>0</v>
      </c>
      <c r="E93" s="50" t="str">
        <f t="shared" si="4"/>
        <v/>
      </c>
      <c r="F93" s="44" t="s">
        <v>57</v>
      </c>
      <c r="L93" s="44" t="str">
        <f t="shared" si="5"/>
        <v>.</v>
      </c>
    </row>
    <row r="94" spans="4:12">
      <c r="D94" s="48">
        <f>'JOB ASSIGNER'!E42</f>
        <v>0</v>
      </c>
      <c r="E94" s="50" t="str">
        <f t="shared" si="4"/>
        <v/>
      </c>
      <c r="F94" s="44" t="s">
        <v>57</v>
      </c>
      <c r="L94" s="44" t="str">
        <f t="shared" si="5"/>
        <v>.</v>
      </c>
    </row>
    <row r="95" spans="4:12">
      <c r="D95" s="48">
        <f>'JOB ASSIGNER'!E43</f>
        <v>0</v>
      </c>
      <c r="E95" s="50" t="str">
        <f t="shared" si="4"/>
        <v/>
      </c>
      <c r="F95" s="44" t="s">
        <v>57</v>
      </c>
      <c r="L95" s="44" t="str">
        <f t="shared" si="5"/>
        <v>.</v>
      </c>
    </row>
    <row r="96" spans="4:12">
      <c r="D96" s="48">
        <f>'JOB ASSIGNER'!E44</f>
        <v>0</v>
      </c>
      <c r="E96" s="50" t="str">
        <f t="shared" si="4"/>
        <v/>
      </c>
      <c r="F96" s="44" t="s">
        <v>57</v>
      </c>
      <c r="L96" s="44" t="str">
        <f t="shared" si="5"/>
        <v>.</v>
      </c>
    </row>
    <row r="97" spans="4:12">
      <c r="D97" s="48">
        <f>'JOB ASSIGNER'!E45</f>
        <v>0</v>
      </c>
      <c r="E97" s="50" t="str">
        <f t="shared" si="4"/>
        <v/>
      </c>
      <c r="F97" s="44" t="s">
        <v>57</v>
      </c>
      <c r="L97" s="44" t="str">
        <f t="shared" si="5"/>
        <v>.</v>
      </c>
    </row>
    <row r="98" spans="4:12">
      <c r="D98" s="48">
        <f>'JOB ASSIGNER'!E46</f>
        <v>0</v>
      </c>
      <c r="E98" s="50" t="str">
        <f t="shared" si="4"/>
        <v/>
      </c>
      <c r="F98" s="44" t="s">
        <v>57</v>
      </c>
      <c r="L98" s="44" t="str">
        <f t="shared" si="5"/>
        <v>.</v>
      </c>
    </row>
    <row r="99" spans="4:12">
      <c r="D99" s="90">
        <f>'JOB ASSIGNER'!B47</f>
        <v>0</v>
      </c>
      <c r="F99" s="44" t="s">
        <v>57</v>
      </c>
      <c r="L99" s="44" t="str">
        <f t="shared" si="5"/>
        <v>.</v>
      </c>
    </row>
    <row r="100" spans="4:12">
      <c r="D100" s="90" t="str">
        <f>'JOB ASSIGNER'!B48</f>
        <v>Debbie Koebel</v>
      </c>
      <c r="F100" s="44" t="s">
        <v>57</v>
      </c>
    </row>
    <row r="101" spans="4:12">
      <c r="D101" s="90">
        <f>'JOB ASSIGNER'!B49</f>
        <v>0</v>
      </c>
      <c r="F101" s="44" t="s">
        <v>57</v>
      </c>
    </row>
    <row r="102" spans="4:12">
      <c r="D102" s="90" t="e">
        <f>'JOB ASSIGNER'!#REF!</f>
        <v>#REF!</v>
      </c>
      <c r="F102" s="44" t="s">
        <v>57</v>
      </c>
    </row>
    <row r="103" spans="4:12">
      <c r="D103" s="90" t="e">
        <f>'JOB ASSIGNER'!#REF!</f>
        <v>#REF!</v>
      </c>
      <c r="F103" s="44" t="s">
        <v>57</v>
      </c>
    </row>
    <row r="104" spans="4:12">
      <c r="D104" s="90" t="e">
        <f>'JOB ASSIGNER'!#REF!</f>
        <v>#REF!</v>
      </c>
      <c r="F104" s="44" t="s">
        <v>57</v>
      </c>
    </row>
    <row r="105" spans="4:12">
      <c r="D105" s="90" t="e">
        <f>'JOB ASSIGNER'!#REF!</f>
        <v>#REF!</v>
      </c>
      <c r="F105" s="44" t="s">
        <v>57</v>
      </c>
    </row>
    <row r="106" spans="4:12">
      <c r="D106" s="90" t="e">
        <f>'JOB ASSIGNER'!#REF!</f>
        <v>#REF!</v>
      </c>
      <c r="F106" s="44" t="s">
        <v>57</v>
      </c>
    </row>
    <row r="107" spans="4:12">
      <c r="D107" s="90" t="e">
        <f>'JOB ASSIGNER'!#REF!</f>
        <v>#REF!</v>
      </c>
      <c r="F107" s="44" t="s">
        <v>57</v>
      </c>
    </row>
    <row r="108" spans="4:12">
      <c r="D108" s="90"/>
      <c r="F108" s="44" t="s">
        <v>57</v>
      </c>
    </row>
    <row r="109" spans="4:12">
      <c r="D109" s="90"/>
      <c r="F109" s="44" t="s">
        <v>57</v>
      </c>
    </row>
    <row r="110" spans="4:12">
      <c r="D110" s="90"/>
      <c r="F110" s="44" t="s">
        <v>57</v>
      </c>
    </row>
    <row r="111" spans="4:12">
      <c r="D111" s="90"/>
      <c r="F111" s="44" t="s">
        <v>57</v>
      </c>
    </row>
    <row r="112" spans="4:12">
      <c r="F112" s="44" t="s">
        <v>57</v>
      </c>
    </row>
    <row r="113" spans="6:6">
      <c r="F113" s="44" t="s">
        <v>57</v>
      </c>
    </row>
    <row r="114" spans="6:6">
      <c r="F114" s="44" t="s">
        <v>57</v>
      </c>
    </row>
    <row r="115" spans="6:6">
      <c r="F115" s="44" t="s">
        <v>57</v>
      </c>
    </row>
    <row r="116" spans="6:6">
      <c r="F116" s="44" t="s">
        <v>57</v>
      </c>
    </row>
    <row r="117" spans="6:6">
      <c r="F117" s="44" t="s">
        <v>57</v>
      </c>
    </row>
    <row r="118" spans="6:6">
      <c r="F118" s="44" t="s">
        <v>57</v>
      </c>
    </row>
    <row r="119" spans="6:6">
      <c r="F119" s="44" t="s">
        <v>57</v>
      </c>
    </row>
    <row r="120" spans="6:6">
      <c r="F120" s="44" t="s">
        <v>57</v>
      </c>
    </row>
    <row r="121" spans="6:6">
      <c r="F121" s="44" t="s">
        <v>57</v>
      </c>
    </row>
    <row r="122" spans="6:6">
      <c r="F122" s="44" t="s">
        <v>57</v>
      </c>
    </row>
    <row r="123" spans="6:6">
      <c r="F123" s="44" t="s">
        <v>57</v>
      </c>
    </row>
    <row r="124" spans="6:6">
      <c r="F124" s="44" t="s">
        <v>57</v>
      </c>
    </row>
    <row r="125" spans="6:6">
      <c r="F125" s="44" t="s">
        <v>57</v>
      </c>
    </row>
    <row r="126" spans="6:6">
      <c r="F126" s="44" t="s">
        <v>57</v>
      </c>
    </row>
    <row r="127" spans="6:6">
      <c r="F127" s="44" t="s">
        <v>57</v>
      </c>
    </row>
    <row r="128" spans="6:6">
      <c r="F128" s="44" t="s">
        <v>57</v>
      </c>
    </row>
    <row r="129" spans="6:6">
      <c r="F129" s="44" t="s">
        <v>57</v>
      </c>
    </row>
    <row r="130" spans="6:6">
      <c r="F130" s="44" t="s">
        <v>57</v>
      </c>
    </row>
    <row r="131" spans="6:6">
      <c r="F131" s="44" t="s">
        <v>57</v>
      </c>
    </row>
    <row r="132" spans="6:6">
      <c r="F132" s="44" t="s">
        <v>57</v>
      </c>
    </row>
    <row r="133" spans="6:6">
      <c r="F133" s="44" t="s">
        <v>57</v>
      </c>
    </row>
    <row r="134" spans="6:6">
      <c r="F134" s="44" t="s">
        <v>57</v>
      </c>
    </row>
    <row r="135" spans="6:6">
      <c r="F135" s="44" t="s">
        <v>57</v>
      </c>
    </row>
    <row r="136" spans="6:6">
      <c r="F136" s="44" t="s">
        <v>57</v>
      </c>
    </row>
    <row r="137" spans="6:6">
      <c r="F137" s="44" t="s">
        <v>57</v>
      </c>
    </row>
    <row r="138" spans="6:6">
      <c r="F138" s="44" t="s">
        <v>57</v>
      </c>
    </row>
    <row r="139" spans="6:6">
      <c r="F139" s="44" t="s">
        <v>57</v>
      </c>
    </row>
    <row r="140" spans="6:6">
      <c r="F140" s="44" t="s">
        <v>57</v>
      </c>
    </row>
    <row r="141" spans="6:6">
      <c r="F141" s="44" t="s">
        <v>57</v>
      </c>
    </row>
    <row r="142" spans="6:6">
      <c r="F142" s="44" t="s">
        <v>57</v>
      </c>
    </row>
    <row r="143" spans="6:6">
      <c r="F143" s="44" t="s">
        <v>57</v>
      </c>
    </row>
    <row r="144" spans="6:6">
      <c r="F144" s="44" t="s">
        <v>57</v>
      </c>
    </row>
    <row r="145" spans="6:6">
      <c r="F145" s="44" t="s">
        <v>57</v>
      </c>
    </row>
    <row r="146" spans="6:6">
      <c r="F146" s="44" t="s">
        <v>57</v>
      </c>
    </row>
    <row r="147" spans="6:6">
      <c r="F147" s="44" t="s">
        <v>57</v>
      </c>
    </row>
    <row r="148" spans="6:6">
      <c r="F148" s="44" t="s">
        <v>57</v>
      </c>
    </row>
    <row r="149" spans="6:6">
      <c r="F149" s="44" t="s">
        <v>57</v>
      </c>
    </row>
    <row r="150" spans="6:6">
      <c r="F150" s="44" t="s">
        <v>57</v>
      </c>
    </row>
    <row r="151" spans="6:6">
      <c r="F151" s="44" t="s">
        <v>57</v>
      </c>
    </row>
    <row r="152" spans="6:6">
      <c r="F152" s="44" t="s">
        <v>57</v>
      </c>
    </row>
    <row r="153" spans="6:6">
      <c r="F153" s="44" t="s">
        <v>57</v>
      </c>
    </row>
    <row r="154" spans="6:6">
      <c r="F154" s="44" t="s">
        <v>57</v>
      </c>
    </row>
    <row r="155" spans="6:6">
      <c r="F155" s="44" t="s">
        <v>57</v>
      </c>
    </row>
    <row r="156" spans="6:6">
      <c r="F156" s="44" t="s">
        <v>57</v>
      </c>
    </row>
  </sheetData>
  <sortState ref="F2:F98">
    <sortCondition ref="F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75"/>
  <sheetViews>
    <sheetView workbookViewId="0">
      <selection activeCell="R2" sqref="R2:R99"/>
    </sheetView>
  </sheetViews>
  <sheetFormatPr defaultRowHeight="13.2"/>
  <cols>
    <col min="2" max="2" width="26.5546875" style="29" customWidth="1"/>
  </cols>
  <sheetData>
    <row r="1" spans="2:9">
      <c r="B1" s="29" t="s">
        <v>11</v>
      </c>
    </row>
    <row r="2" spans="2:9">
      <c r="B2" s="29" t="s">
        <v>36</v>
      </c>
      <c r="D2" t="s">
        <v>45</v>
      </c>
      <c r="F2" t="s">
        <v>46</v>
      </c>
      <c r="G2" t="s">
        <v>47</v>
      </c>
      <c r="H2">
        <v>15</v>
      </c>
      <c r="I2">
        <v>2018</v>
      </c>
    </row>
    <row r="3" spans="2:9">
      <c r="B3" s="29" t="s">
        <v>18</v>
      </c>
      <c r="D3" t="s">
        <v>45</v>
      </c>
    </row>
    <row r="4" spans="2:9">
      <c r="B4" s="29" t="s">
        <v>38</v>
      </c>
    </row>
    <row r="5" spans="2:9">
      <c r="B5" s="29" t="s">
        <v>17</v>
      </c>
    </row>
    <row r="6" spans="2:9">
      <c r="B6" s="29" t="s">
        <v>39</v>
      </c>
    </row>
    <row r="7" spans="2:9">
      <c r="B7" s="29" t="s">
        <v>19</v>
      </c>
    </row>
    <row r="8" spans="2:9">
      <c r="B8" s="29" t="s">
        <v>33</v>
      </c>
    </row>
    <row r="9" spans="2:9">
      <c r="B9" s="29" t="s">
        <v>32</v>
      </c>
    </row>
    <row r="10" spans="2:9">
      <c r="B10" s="29" t="s">
        <v>31</v>
      </c>
    </row>
    <row r="11" spans="2:9">
      <c r="B11" s="29" t="s">
        <v>30</v>
      </c>
    </row>
    <row r="12" spans="2:9">
      <c r="B12" s="29" t="s">
        <v>27</v>
      </c>
    </row>
    <row r="13" spans="2:9">
      <c r="B13" s="29" t="s">
        <v>27</v>
      </c>
    </row>
    <row r="14" spans="2:9">
      <c r="B14" s="29" t="s">
        <v>27</v>
      </c>
    </row>
    <row r="15" spans="2:9">
      <c r="B15" s="29" t="s">
        <v>26</v>
      </c>
    </row>
    <row r="16" spans="2:9">
      <c r="B16" s="29" t="s">
        <v>29</v>
      </c>
    </row>
    <row r="17" spans="2:2">
      <c r="B17" s="29" t="s">
        <v>29</v>
      </c>
    </row>
    <row r="18" spans="2:2">
      <c r="B18" s="29" t="s">
        <v>28</v>
      </c>
    </row>
    <row r="19" spans="2:2">
      <c r="B19" s="29" t="s">
        <v>48</v>
      </c>
    </row>
    <row r="20" spans="2:2">
      <c r="B20" s="29" t="s">
        <v>49</v>
      </c>
    </row>
    <row r="21" spans="2:2">
      <c r="B21" s="29" t="s">
        <v>35</v>
      </c>
    </row>
    <row r="22" spans="2:2">
      <c r="B22" s="29" t="s">
        <v>21</v>
      </c>
    </row>
    <row r="23" spans="2:2">
      <c r="B23" s="29" t="s">
        <v>37</v>
      </c>
    </row>
    <row r="24" spans="2:2">
      <c r="B24" s="29" t="s">
        <v>20</v>
      </c>
    </row>
    <row r="25" spans="2:2">
      <c r="B25" s="29" t="s">
        <v>23</v>
      </c>
    </row>
    <row r="26" spans="2:2">
      <c r="B26" s="29" t="s">
        <v>22</v>
      </c>
    </row>
    <row r="27" spans="2:2">
      <c r="B27" s="29" t="s">
        <v>24</v>
      </c>
    </row>
    <row r="28" spans="2:2">
      <c r="B28" s="29" t="s">
        <v>12</v>
      </c>
    </row>
    <row r="29" spans="2:2">
      <c r="B29" s="29" t="s">
        <v>13</v>
      </c>
    </row>
    <row r="30" spans="2:2">
      <c r="B30" s="29" t="s">
        <v>14</v>
      </c>
    </row>
    <row r="31" spans="2:2">
      <c r="B31" s="29" t="s">
        <v>16</v>
      </c>
    </row>
    <row r="32" spans="2:2">
      <c r="B32" s="29" t="s">
        <v>15</v>
      </c>
    </row>
    <row r="33" spans="2:2">
      <c r="B33" s="29" t="s">
        <v>34</v>
      </c>
    </row>
    <row r="34" spans="2:2">
      <c r="B34" s="29" t="s">
        <v>25</v>
      </c>
    </row>
    <row r="35" spans="2:2">
      <c r="B35" s="29" t="s">
        <v>50</v>
      </c>
    </row>
    <row r="36" spans="2:2">
      <c r="B36" s="29" t="s">
        <v>40</v>
      </c>
    </row>
    <row r="37" spans="2:2">
      <c r="B37" s="29" t="s">
        <v>43</v>
      </c>
    </row>
    <row r="38" spans="2:2">
      <c r="B38" s="29" t="s">
        <v>43</v>
      </c>
    </row>
    <row r="39" spans="2:2">
      <c r="B39" s="29" t="s">
        <v>43</v>
      </c>
    </row>
    <row r="40" spans="2:2">
      <c r="B40" s="29" t="s">
        <v>43</v>
      </c>
    </row>
    <row r="41" spans="2:2">
      <c r="B41" s="29" t="s">
        <v>43</v>
      </c>
    </row>
    <row r="42" spans="2:2">
      <c r="B42" s="29" t="s">
        <v>43</v>
      </c>
    </row>
    <row r="43" spans="2:2">
      <c r="B43" s="29" t="s">
        <v>43</v>
      </c>
    </row>
    <row r="44" spans="2:2">
      <c r="B44" s="29" t="s">
        <v>43</v>
      </c>
    </row>
    <row r="45" spans="2:2">
      <c r="B45" s="29" t="s">
        <v>43</v>
      </c>
    </row>
    <row r="46" spans="2:2">
      <c r="B46" s="29" t="s">
        <v>43</v>
      </c>
    </row>
    <row r="47" spans="2:2">
      <c r="B47" s="29" t="s">
        <v>43</v>
      </c>
    </row>
    <row r="48" spans="2:2">
      <c r="B48" s="29" t="s">
        <v>43</v>
      </c>
    </row>
    <row r="49" spans="2:2">
      <c r="B49" s="29" t="s">
        <v>43</v>
      </c>
    </row>
    <row r="50" spans="2:2">
      <c r="B50" s="29" t="s">
        <v>43</v>
      </c>
    </row>
    <row r="51" spans="2:2">
      <c r="B51" s="29" t="s">
        <v>43</v>
      </c>
    </row>
    <row r="52" spans="2:2">
      <c r="B52" s="29" t="s">
        <v>43</v>
      </c>
    </row>
    <row r="53" spans="2:2">
      <c r="B53" s="29" t="s">
        <v>43</v>
      </c>
    </row>
    <row r="54" spans="2:2">
      <c r="B54" s="29" t="s">
        <v>43</v>
      </c>
    </row>
    <row r="55" spans="2:2">
      <c r="B55" s="29" t="s">
        <v>43</v>
      </c>
    </row>
    <row r="56" spans="2:2">
      <c r="B56" s="29" t="s">
        <v>43</v>
      </c>
    </row>
    <row r="57" spans="2:2">
      <c r="B57" s="29" t="s">
        <v>43</v>
      </c>
    </row>
    <row r="58" spans="2:2">
      <c r="B58" s="29" t="s">
        <v>43</v>
      </c>
    </row>
    <row r="59" spans="2:2">
      <c r="B59" s="29" t="s">
        <v>43</v>
      </c>
    </row>
    <row r="60" spans="2:2">
      <c r="B60" s="29" t="s">
        <v>43</v>
      </c>
    </row>
    <row r="61" spans="2:2">
      <c r="B61" s="29" t="s">
        <v>43</v>
      </c>
    </row>
    <row r="62" spans="2:2">
      <c r="B62" s="29" t="s">
        <v>43</v>
      </c>
    </row>
    <row r="63" spans="2:2">
      <c r="B63" s="29" t="s">
        <v>43</v>
      </c>
    </row>
    <row r="64" spans="2:2">
      <c r="B64" s="29" t="s">
        <v>43</v>
      </c>
    </row>
    <row r="65" spans="2:4">
      <c r="B65" s="29" t="s">
        <v>43</v>
      </c>
    </row>
    <row r="66" spans="2:4">
      <c r="B66" s="29" t="s">
        <v>43</v>
      </c>
    </row>
    <row r="67" spans="2:4">
      <c r="B67" s="29" t="s">
        <v>43</v>
      </c>
    </row>
    <row r="68" spans="2:4">
      <c r="B68" s="29" t="s">
        <v>43</v>
      </c>
    </row>
    <row r="69" spans="2:4">
      <c r="B69" s="29" t="s">
        <v>43</v>
      </c>
    </row>
    <row r="70" spans="2:4">
      <c r="B70" s="29" t="s">
        <v>43</v>
      </c>
    </row>
    <row r="71" spans="2:4">
      <c r="B71" s="29" t="s">
        <v>43</v>
      </c>
    </row>
    <row r="72" spans="2:4">
      <c r="B72" s="29" t="s">
        <v>43</v>
      </c>
    </row>
    <row r="73" spans="2:4">
      <c r="B73" s="29" t="s">
        <v>43</v>
      </c>
    </row>
    <row r="74" spans="2:4">
      <c r="B74" s="29" t="s">
        <v>43</v>
      </c>
    </row>
    <row r="75" spans="2:4">
      <c r="B75" s="29" t="s">
        <v>43</v>
      </c>
      <c r="D75" t="b">
        <v>0</v>
      </c>
    </row>
  </sheetData>
  <sortState ref="R2:R99">
    <sortCondition ref="R99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36"/>
  <sheetViews>
    <sheetView workbookViewId="0">
      <selection activeCell="E18" sqref="E18"/>
    </sheetView>
  </sheetViews>
  <sheetFormatPr defaultRowHeight="13.2"/>
  <cols>
    <col min="2" max="2" width="40.6640625" customWidth="1"/>
    <col min="4" max="4" width="27.109375" customWidth="1"/>
    <col min="6" max="6" width="13.6640625" customWidth="1"/>
    <col min="7" max="7" width="13.88671875" customWidth="1"/>
    <col min="8" max="8" width="5.6640625" customWidth="1"/>
    <col min="9" max="9" width="8.33203125" customWidth="1"/>
  </cols>
  <sheetData>
    <row r="1" spans="2:9">
      <c r="B1" t="s">
        <v>11</v>
      </c>
      <c r="F1" s="28"/>
    </row>
    <row r="2" spans="2:9">
      <c r="B2" t="str">
        <f>'[2]Plant 2 Staffing'!$A5</f>
        <v>Press 271</v>
      </c>
    </row>
    <row r="3" spans="2:9">
      <c r="B3" t="str">
        <f>'[2]Plant 2 Staffing'!$A6</f>
        <v>Press 272</v>
      </c>
    </row>
    <row r="4" spans="2:9">
      <c r="B4" t="str">
        <f>'[2]Plant 2 Staffing'!$A7</f>
        <v>Press 273</v>
      </c>
      <c r="D4" t="str">
        <f ca="1">F4&amp;"_"&amp;G4&amp;"_"&amp;H4&amp;"_"&amp;I4</f>
        <v>Friday_April_12_2019</v>
      </c>
      <c r="F4" t="str">
        <f ca="1">TEXT('JOB ASSIGNER'!F3,"dddd")</f>
        <v>Friday</v>
      </c>
      <c r="G4" t="str">
        <f ca="1">TEXT('JOB ASSIGNER'!F3,"mmmm")</f>
        <v>April</v>
      </c>
      <c r="H4">
        <f ca="1">DAY('JOB ASSIGNER'!F3)</f>
        <v>12</v>
      </c>
      <c r="I4">
        <f ca="1">YEAR('JOB ASSIGNER'!F3)</f>
        <v>2019</v>
      </c>
    </row>
    <row r="5" spans="2:9">
      <c r="B5" t="str">
        <f>'[2]Plant 2 Staffing'!$A8</f>
        <v>Press 277</v>
      </c>
    </row>
    <row r="6" spans="2:9">
      <c r="B6" t="str">
        <f>'[2]Plant 2 Staffing'!$A9</f>
        <v>Press 278</v>
      </c>
      <c r="D6" t="str">
        <f ca="1">IF(D14,"LAST SCHEDULE",D4)</f>
        <v>Friday_April_12_2019</v>
      </c>
    </row>
    <row r="7" spans="2:9">
      <c r="B7" t="str">
        <f>'[2]Plant 2 Staffing'!$A10</f>
        <v>Setter Operators</v>
      </c>
    </row>
    <row r="8" spans="2:9">
      <c r="B8" t="str">
        <f>'[2]Plant 2 Staffing'!$A13</f>
        <v>341 Load (9HP/4900)</v>
      </c>
      <c r="D8" t="str">
        <f>Jobs!AO1</f>
        <v>p1day</v>
      </c>
    </row>
    <row r="9" spans="2:9">
      <c r="B9" t="str">
        <f>'[2]Plant 2 Staffing'!$A14</f>
        <v xml:space="preserve">341 Unload </v>
      </c>
    </row>
    <row r="10" spans="2:9">
      <c r="B10" t="str">
        <f>'[2]Plant 2 Staffing'!$A15</f>
        <v>342 Load (9HP)</v>
      </c>
    </row>
    <row r="11" spans="2:9">
      <c r="B11" t="str">
        <f>'[2]Plant 2 Staffing'!$A16</f>
        <v>342 Unload</v>
      </c>
    </row>
    <row r="12" spans="2:9">
      <c r="B12" t="str">
        <f>'[2]Plant 2 Staffing'!$A17</f>
        <v>346 Input Load</v>
      </c>
    </row>
    <row r="13" spans="2:9">
      <c r="B13" t="str">
        <f>'[2]Plant 2 Staffing'!$A18</f>
        <v>346 Input Load</v>
      </c>
    </row>
    <row r="14" spans="2:9">
      <c r="B14" t="str">
        <f>'[2]Plant 2 Staffing'!$A19</f>
        <v>346 Input Unload</v>
      </c>
      <c r="D14" t="b">
        <f ca="1">ISERR(D4)</f>
        <v>0</v>
      </c>
    </row>
    <row r="15" spans="2:9">
      <c r="B15" t="str">
        <f>'[2]Plant 2 Staffing'!$A20</f>
        <v>343/344/345 Output Load</v>
      </c>
    </row>
    <row r="16" spans="2:9">
      <c r="B16" t="str">
        <f>'[2]Plant 2 Staffing'!$A21</f>
        <v>343/344/345 Output Load</v>
      </c>
    </row>
    <row r="17" spans="2:2">
      <c r="B17" t="str">
        <f>'[2]Plant 2 Staffing'!$A22</f>
        <v>343/344/345 Output Load</v>
      </c>
    </row>
    <row r="18" spans="2:2">
      <c r="B18" t="str">
        <f>'[2]Plant 2 Staffing'!$A23</f>
        <v>343/344/345 Output Unload</v>
      </c>
    </row>
    <row r="19" spans="2:2">
      <c r="B19" t="str">
        <f>'[2]Plant 2 Staffing'!$A24</f>
        <v>Ultra Sound Tester</v>
      </c>
    </row>
    <row r="20" spans="2:2">
      <c r="B20" t="str">
        <f>'[2]Plant 2 Staffing'!$A29</f>
        <v>Output Op 7</v>
      </c>
    </row>
    <row r="21" spans="2:2">
      <c r="B21" t="str">
        <f>'[2]Plant 2 Staffing'!$A30</f>
        <v>Output Off-line Op 7/10</v>
      </c>
    </row>
    <row r="22" spans="2:2">
      <c r="B22" t="str">
        <f>'[2]Plant 2 Staffing'!$A31</f>
        <v>Output Op 10</v>
      </c>
    </row>
    <row r="23" spans="2:2">
      <c r="B23" t="str">
        <f>'[2]Plant 2 Staffing'!$A32</f>
        <v>6L Output Op20 Mainline</v>
      </c>
    </row>
    <row r="24" spans="2:2">
      <c r="B24" t="str">
        <f>'[2]Plant 2 Staffing'!$A33</f>
        <v>6L Output Op20 Offline</v>
      </c>
    </row>
    <row r="25" spans="2:2">
      <c r="B25" t="str">
        <f>'[2]Plant 2 Staffing'!$A34</f>
        <v>Input Cell - Auto</v>
      </c>
    </row>
    <row r="26" spans="2:2">
      <c r="B26" t="str">
        <f>'[2]Plant 2 Staffing'!$A35</f>
        <v>Input Cell - 687/Makino</v>
      </c>
    </row>
    <row r="27" spans="2:2">
      <c r="B27" t="str">
        <f>'[2]Plant 2 Staffing'!$A$62</f>
        <v>ZF Machining</v>
      </c>
    </row>
    <row r="28" spans="2:2">
      <c r="B28" t="str">
        <f>'[2]Plant 2 Staffing'!$A$65</f>
        <v>AB1V Reaction Op 40</v>
      </c>
    </row>
    <row r="29" spans="2:2">
      <c r="B29" t="str">
        <f>'[2]Plant 2 Staffing'!$A$74</f>
        <v>AB1V Inputs Op 10</v>
      </c>
    </row>
    <row r="30" spans="2:2">
      <c r="B30">
        <f>'[2]Plant 2 Staffing'!$A$75</f>
        <v>0</v>
      </c>
    </row>
    <row r="31" spans="2:2">
      <c r="B31" t="str">
        <f>'[2]Plant 2 Staffing'!$A$78</f>
        <v>GF6 Rx Wash unload &amp; Broach</v>
      </c>
    </row>
    <row r="32" spans="2:2">
      <c r="B32" t="str">
        <f>'[2]Plant 2 Staffing'!$A$79</f>
        <v>GF6 Input Wash Unload</v>
      </c>
    </row>
    <row r="33" spans="2:2">
      <c r="B33" t="str">
        <f>'[2]Plant 2 Staffing'!$A$80</f>
        <v>GFx Balance / HP Wash / Slurry</v>
      </c>
    </row>
    <row r="34" spans="2:2">
      <c r="B34" t="str">
        <f>'[2]Plant 2 Staffing'!$A$81</f>
        <v>GFx Inspect &amp; Pack</v>
      </c>
    </row>
    <row r="35" spans="2:2">
      <c r="B35" t="str">
        <f>'[2]Plant 2 Staffing'!$A$83</f>
        <v>100% Output</v>
      </c>
    </row>
    <row r="36" spans="2:2">
      <c r="B36" t="str">
        <f>'[2]Plant 2 Staffing'!$A$84</f>
        <v>100% Output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JOB ASSIGNER</vt:lpstr>
      <vt:lpstr>Jobs</vt:lpstr>
      <vt:lpstr>Sheet3</vt:lpstr>
      <vt:lpstr>clean_schedule</vt:lpstr>
      <vt:lpstr>Shift_Names</vt:lpstr>
      <vt:lpstr>Sheet2</vt:lpstr>
      <vt:lpstr>Sheet1</vt:lpstr>
      <vt:lpstr>'JOB ASSIGNER'!Print_Area</vt:lpstr>
    </vt:vector>
  </TitlesOfParts>
  <Company>Stackpole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Clark</dc:creator>
  <cp:lastModifiedBy>Nathan Klein-Geltink</cp:lastModifiedBy>
  <cp:lastPrinted>2019-04-12T10:55:25Z</cp:lastPrinted>
  <dcterms:created xsi:type="dcterms:W3CDTF">2011-02-09T19:05:27Z</dcterms:created>
  <dcterms:modified xsi:type="dcterms:W3CDTF">2019-04-12T10:55:37Z</dcterms:modified>
</cp:coreProperties>
</file>